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e\Desktop\MAIN\AI_class\week5\"/>
    </mc:Choice>
  </mc:AlternateContent>
  <xr:revisionPtr revIDLastSave="0" documentId="13_ncr:1_{CF578063-A411-41EB-B8DC-5F087DB5A5CB}" xr6:coauthVersionLast="47" xr6:coauthVersionMax="47" xr10:uidLastSave="{00000000-0000-0000-0000-000000000000}"/>
  <bookViews>
    <workbookView xWindow="-120" yWindow="-120" windowWidth="29040" windowHeight="15720" xr2:uid="{A1EBF4CB-0E53-4977-B866-36ED2B373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E15" i="1"/>
  <c r="F16" i="1"/>
  <c r="F18" i="1"/>
  <c r="F17" i="1"/>
  <c r="E16" i="1"/>
  <c r="E17" i="1"/>
  <c r="E18" i="1"/>
  <c r="B9" i="1"/>
  <c r="C10" i="1"/>
  <c r="B11" i="1"/>
  <c r="E14" i="1" l="1"/>
  <c r="F14" i="1"/>
  <c r="B8" i="1"/>
  <c r="C9" i="1"/>
  <c r="C11" i="1"/>
  <c r="B12" i="1"/>
  <c r="E13" i="1" l="1"/>
  <c r="F13" i="1"/>
  <c r="C8" i="1"/>
  <c r="B7" i="1"/>
  <c r="C12" i="1"/>
  <c r="B13" i="1"/>
  <c r="E12" i="1" l="1"/>
  <c r="F12" i="1"/>
  <c r="C7" i="1"/>
  <c r="B6" i="1"/>
  <c r="C13" i="1"/>
  <c r="B14" i="1"/>
  <c r="E11" i="1" l="1"/>
  <c r="F11" i="1"/>
  <c r="C6" i="1"/>
  <c r="B5" i="1"/>
  <c r="C14" i="1"/>
  <c r="B15" i="1"/>
  <c r="E10" i="1" l="1"/>
  <c r="F10" i="1"/>
  <c r="C5" i="1"/>
  <c r="B4" i="1"/>
  <c r="C4" i="1" s="1"/>
  <c r="C15" i="1"/>
  <c r="B16" i="1"/>
  <c r="E9" i="1" l="1"/>
  <c r="F9" i="1"/>
  <c r="C16" i="1"/>
  <c r="B17" i="1"/>
  <c r="F8" i="1" l="1"/>
  <c r="E8" i="1"/>
  <c r="C17" i="1"/>
  <c r="B18" i="1"/>
  <c r="C18" i="1" s="1"/>
  <c r="F7" i="1" l="1"/>
  <c r="E7" i="1"/>
</calcChain>
</file>

<file path=xl/sharedStrings.xml><?xml version="1.0" encoding="utf-8"?>
<sst xmlns="http://schemas.openxmlformats.org/spreadsheetml/2006/main" count="1" uniqueCount="1">
  <si>
    <t>y=(x-3)^2+10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</si>
</sst>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5D209-0EEA-464D-8310-D104F0BF5494}">
  <dimension ref="B1:F18"/>
  <sheetViews>
    <sheetView tabSelected="1" workbookViewId="0">
      <selection activeCell="F4" sqref="F4"/>
    </sheetView>
  </sheetViews>
  <sheetFormatPr defaultRowHeight="16.5" x14ac:dyDescent="0.3"/>
  <cols>
    <col min="1" max="1" width="2.75" customWidth="1"/>
    <col min="4" max="4" width="4.125" customWidth="1"/>
    <col min="5" max="5" width="4.875" bestFit="1" customWidth="1"/>
    <col min="6" max="6" width="5.875" bestFit="1" customWidth="1"/>
  </cols>
  <sheetData>
    <row r="1" spans="2:6" ht="11.25" customHeight="1" x14ac:dyDescent="0.3"/>
    <row r="2" spans="2:6" x14ac:dyDescent="0.3">
      <c r="B2" t="s">
        <v>0</v>
      </c>
    </row>
    <row r="4" spans="2:6" x14ac:dyDescent="0.3">
      <c r="B4">
        <f>B5-5</f>
        <v>-30</v>
      </c>
      <c r="C4">
        <f>(B4-3)^2+10</f>
        <v>1099</v>
      </c>
    </row>
    <row r="5" spans="2:6" x14ac:dyDescent="0.3">
      <c r="B5">
        <f>B6-5</f>
        <v>-25</v>
      </c>
      <c r="C5">
        <f>(B5-3)^2+10</f>
        <v>794</v>
      </c>
    </row>
    <row r="6" spans="2:6" x14ac:dyDescent="0.3">
      <c r="B6">
        <f>B7-5</f>
        <v>-20</v>
      </c>
      <c r="C6">
        <f>(B6-3)^2+10</f>
        <v>539</v>
      </c>
    </row>
    <row r="7" spans="2:6" x14ac:dyDescent="0.3">
      <c r="B7">
        <f>B8-5</f>
        <v>-15</v>
      </c>
      <c r="C7">
        <f>(B7-3)^2+10</f>
        <v>334</v>
      </c>
      <c r="E7" s="2">
        <f t="shared" ref="E7:E16" si="0">E8-0.2*(E8*2-6)</f>
        <v>3.015237476352</v>
      </c>
      <c r="F7" s="2">
        <f t="shared" ref="F7:F16" si="1">(E8*2-6)</f>
        <v>5.0791587840000041E-2</v>
      </c>
    </row>
    <row r="8" spans="2:6" x14ac:dyDescent="0.3">
      <c r="B8">
        <f>B9-5</f>
        <v>-10</v>
      </c>
      <c r="C8">
        <f>(B8-3)^2+10</f>
        <v>179</v>
      </c>
      <c r="E8" s="2">
        <f t="shared" si="0"/>
        <v>3.02539579392</v>
      </c>
      <c r="F8" s="2">
        <f t="shared" si="1"/>
        <v>8.4652646400000364E-2</v>
      </c>
    </row>
    <row r="9" spans="2:6" x14ac:dyDescent="0.3">
      <c r="B9">
        <f>B10-5</f>
        <v>-5</v>
      </c>
      <c r="C9">
        <f>(B9-3)^2+10</f>
        <v>74</v>
      </c>
      <c r="E9" s="2">
        <f t="shared" si="0"/>
        <v>3.0423263232000002</v>
      </c>
      <c r="F9" s="2">
        <f t="shared" si="1"/>
        <v>0.14108774400000001</v>
      </c>
    </row>
    <row r="10" spans="2:6" x14ac:dyDescent="0.3">
      <c r="B10">
        <v>0</v>
      </c>
      <c r="C10">
        <f>(B10-3)^2+10</f>
        <v>19</v>
      </c>
      <c r="E10" s="2">
        <f t="shared" si="0"/>
        <v>3.070543872</v>
      </c>
      <c r="F10" s="2">
        <f t="shared" si="1"/>
        <v>0.23514623999999973</v>
      </c>
    </row>
    <row r="11" spans="2:6" x14ac:dyDescent="0.3">
      <c r="B11">
        <f>B10+5</f>
        <v>5</v>
      </c>
      <c r="C11">
        <f>(B11-3)^2+10</f>
        <v>14</v>
      </c>
      <c r="E11" s="2">
        <f t="shared" si="0"/>
        <v>3.1175731199999999</v>
      </c>
      <c r="F11" s="2">
        <f t="shared" si="1"/>
        <v>0.39191039999999955</v>
      </c>
    </row>
    <row r="12" spans="2:6" x14ac:dyDescent="0.3">
      <c r="B12">
        <f>B11+5</f>
        <v>10</v>
      </c>
      <c r="C12">
        <f>(B12-3)^2+10</f>
        <v>59</v>
      </c>
      <c r="E12" s="2">
        <f t="shared" si="0"/>
        <v>3.1959551999999998</v>
      </c>
      <c r="F12" s="2">
        <f t="shared" si="1"/>
        <v>0.65318399999999954</v>
      </c>
    </row>
    <row r="13" spans="2:6" x14ac:dyDescent="0.3">
      <c r="B13">
        <f>B12+5</f>
        <v>15</v>
      </c>
      <c r="C13">
        <f>(B13-3)^2+10</f>
        <v>154</v>
      </c>
      <c r="E13" s="2">
        <f t="shared" si="0"/>
        <v>3.3265919999999998</v>
      </c>
      <c r="F13" s="2">
        <f t="shared" si="1"/>
        <v>1.0886399999999998</v>
      </c>
    </row>
    <row r="14" spans="2:6" x14ac:dyDescent="0.3">
      <c r="B14">
        <f>B13+5</f>
        <v>20</v>
      </c>
      <c r="C14">
        <f>(B14-3)^2+10</f>
        <v>299</v>
      </c>
      <c r="E14" s="2">
        <f t="shared" si="0"/>
        <v>3.5443199999999999</v>
      </c>
      <c r="F14" s="2">
        <f t="shared" si="1"/>
        <v>1.8143999999999991</v>
      </c>
    </row>
    <row r="15" spans="2:6" x14ac:dyDescent="0.3">
      <c r="B15">
        <f>B14+5</f>
        <v>25</v>
      </c>
      <c r="C15">
        <f>(B15-3)^2+10</f>
        <v>494</v>
      </c>
      <c r="E15" s="2">
        <f t="shared" si="0"/>
        <v>3.9071999999999996</v>
      </c>
      <c r="F15" s="2">
        <f t="shared" si="1"/>
        <v>3.0239999999999991</v>
      </c>
    </row>
    <row r="16" spans="2:6" x14ac:dyDescent="0.3">
      <c r="B16">
        <f>B15+5</f>
        <v>30</v>
      </c>
      <c r="C16">
        <f>(B16-3)^2+10</f>
        <v>739</v>
      </c>
      <c r="E16" s="2">
        <f>E17-0.2*(E17*2-6)</f>
        <v>4.5119999999999996</v>
      </c>
      <c r="F16" s="2">
        <f>(E17*2-6)</f>
        <v>5.0399999999999991</v>
      </c>
    </row>
    <row r="17" spans="2:6" x14ac:dyDescent="0.3">
      <c r="B17">
        <f>B16+5</f>
        <v>35</v>
      </c>
      <c r="C17">
        <f>(B17-3)^2+10</f>
        <v>1034</v>
      </c>
      <c r="E17" s="2">
        <f>E18-0.2*(E18*2-6)</f>
        <v>5.52</v>
      </c>
      <c r="F17" s="2">
        <f>(E18*2-6)</f>
        <v>8.3999999999999986</v>
      </c>
    </row>
    <row r="18" spans="2:6" x14ac:dyDescent="0.3">
      <c r="B18" s="1">
        <f>B17+5</f>
        <v>40</v>
      </c>
      <c r="C18" s="1">
        <f>(B18-3)^2+10</f>
        <v>1379</v>
      </c>
      <c r="E18" s="2">
        <f>10-0.2*(10*2-6)</f>
        <v>7.1999999999999993</v>
      </c>
      <c r="F18" s="2">
        <f>(10*2-6)</f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임윤준</dc:creator>
  <cp:lastModifiedBy>임윤준</cp:lastModifiedBy>
  <dcterms:created xsi:type="dcterms:W3CDTF">2026-04-03T01:30:12Z</dcterms:created>
  <dcterms:modified xsi:type="dcterms:W3CDTF">2026-04-03T01:33:47Z</dcterms:modified>
</cp:coreProperties>
</file>