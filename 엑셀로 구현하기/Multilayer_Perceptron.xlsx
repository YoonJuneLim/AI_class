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esktop\"/>
    </mc:Choice>
  </mc:AlternateContent>
  <xr:revisionPtr revIDLastSave="0" documentId="13_ncr:1_{4E24E78C-642B-4647-A249-0729E53CD66E}" xr6:coauthVersionLast="47" xr6:coauthVersionMax="47" xr10:uidLastSave="{00000000-0000-0000-0000-000000000000}"/>
  <bookViews>
    <workbookView xWindow="-120" yWindow="-120" windowWidth="29040" windowHeight="15720" tabRatio="510" xr2:uid="{5783575E-872E-4B4D-9C40-9C27BF351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6" i="1" l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G3" i="1"/>
  <c r="AO3" i="1" s="1"/>
  <c r="AH3" i="1"/>
  <c r="AG4" i="1"/>
  <c r="AH4" i="1"/>
  <c r="AO4" i="1"/>
  <c r="AT4" i="1" s="1"/>
  <c r="AP4" i="1"/>
  <c r="AG5" i="1"/>
  <c r="AH5" i="1"/>
  <c r="AO5" i="1"/>
  <c r="AT5" i="1" s="1"/>
  <c r="AP5" i="1"/>
  <c r="AG6" i="1"/>
  <c r="AO6" i="1" s="1"/>
  <c r="AH6" i="1"/>
  <c r="AG7" i="1"/>
  <c r="AO7" i="1" s="1"/>
  <c r="AT7" i="1" s="1"/>
  <c r="AH7" i="1"/>
  <c r="AP7" i="1"/>
  <c r="AG8" i="1"/>
  <c r="AO8" i="1" s="1"/>
  <c r="AT8" i="1" s="1"/>
  <c r="AH8" i="1"/>
  <c r="AP8" i="1"/>
  <c r="AG9" i="1"/>
  <c r="AP9" i="1" s="1"/>
  <c r="AH9" i="1"/>
  <c r="AO9" i="1"/>
  <c r="AG10" i="1"/>
  <c r="AH10" i="1"/>
  <c r="AO10" i="1" s="1"/>
  <c r="AT10" i="1" s="1"/>
  <c r="AP10" i="1"/>
  <c r="AG11" i="1"/>
  <c r="AO11" i="1" s="1"/>
  <c r="AH11" i="1"/>
  <c r="AG12" i="1"/>
  <c r="AH12" i="1"/>
  <c r="AO12" i="1"/>
  <c r="AT12" i="1" s="1"/>
  <c r="AP12" i="1"/>
  <c r="AG13" i="1"/>
  <c r="AH13" i="1"/>
  <c r="AO13" i="1"/>
  <c r="AP13" i="1"/>
  <c r="AT13" i="1"/>
  <c r="AG14" i="1"/>
  <c r="AO14" i="1" s="1"/>
  <c r="AH14" i="1"/>
  <c r="AG15" i="1"/>
  <c r="AH15" i="1"/>
  <c r="AO15" i="1"/>
  <c r="AP15" i="1"/>
  <c r="AT15" i="1"/>
  <c r="AG16" i="1"/>
  <c r="AO16" i="1" s="1"/>
  <c r="AT16" i="1" s="1"/>
  <c r="AH16" i="1"/>
  <c r="AP16" i="1"/>
  <c r="AT2" i="1"/>
  <c r="AV2" i="1" s="1"/>
  <c r="AP2" i="1"/>
  <c r="AO2" i="1"/>
  <c r="AH2" i="1"/>
  <c r="AG2" i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L2" i="1"/>
  <c r="K2" i="1"/>
  <c r="AT9" i="1" l="1"/>
  <c r="AP11" i="1"/>
  <c r="AT11" i="1" s="1"/>
  <c r="AP3" i="1"/>
  <c r="AT3" i="1" s="1"/>
  <c r="AP14" i="1"/>
  <c r="AT14" i="1" s="1"/>
  <c r="AP6" i="1"/>
  <c r="S2" i="1"/>
  <c r="T2" i="1"/>
  <c r="X2" i="1" l="1"/>
  <c r="F3" i="1" l="1"/>
  <c r="W3" i="1"/>
  <c r="E3" i="1"/>
  <c r="V3" i="1"/>
  <c r="R3" i="1"/>
  <c r="U3" i="1"/>
  <c r="P3" i="1"/>
  <c r="G3" i="1"/>
  <c r="J3" i="1"/>
  <c r="N3" i="1"/>
  <c r="M3" i="1"/>
  <c r="O3" i="1"/>
  <c r="I3" i="1"/>
  <c r="H3" i="1"/>
  <c r="Q3" i="1"/>
  <c r="Z2" i="1"/>
  <c r="K3" i="1" l="1"/>
  <c r="T3" i="1" s="1"/>
  <c r="L3" i="1"/>
  <c r="S3" i="1" l="1"/>
  <c r="X3" i="1" s="1"/>
  <c r="M4" i="1" s="1"/>
  <c r="I4" i="1"/>
  <c r="Q4" i="1"/>
  <c r="W4" i="1"/>
  <c r="F4" i="1"/>
  <c r="N4" i="1"/>
  <c r="J4" i="1"/>
  <c r="G4" i="1"/>
  <c r="U4" i="1"/>
  <c r="O4" i="1"/>
  <c r="E4" i="1"/>
  <c r="R4" i="1"/>
  <c r="V4" i="1"/>
  <c r="P4" i="1"/>
  <c r="H4" i="1"/>
  <c r="Z3" i="1"/>
  <c r="L4" i="1" l="1"/>
  <c r="K4" i="1"/>
  <c r="S4" i="1" s="1"/>
  <c r="T4" i="1" l="1"/>
  <c r="X4" i="1" s="1"/>
  <c r="I5" i="1" l="1"/>
  <c r="Z4" i="1"/>
  <c r="J5" i="1"/>
  <c r="Q5" i="1"/>
  <c r="M5" i="1"/>
  <c r="P5" i="1"/>
  <c r="G5" i="1"/>
  <c r="R5" i="1"/>
  <c r="N5" i="1"/>
  <c r="O5" i="1"/>
  <c r="U5" i="1"/>
  <c r="W5" i="1"/>
  <c r="F5" i="1"/>
  <c r="H5" i="1"/>
  <c r="V5" i="1"/>
  <c r="E5" i="1"/>
  <c r="L5" i="1" l="1"/>
  <c r="K5" i="1"/>
  <c r="T5" i="1" l="1"/>
  <c r="S5" i="1"/>
  <c r="X5" i="1" l="1"/>
  <c r="Z5" i="1" s="1"/>
  <c r="J6" i="1"/>
  <c r="N6" i="1"/>
  <c r="I6" i="1"/>
  <c r="G6" i="1"/>
  <c r="E6" i="1"/>
  <c r="V6" i="1"/>
  <c r="H6" i="1"/>
  <c r="P6" i="1"/>
  <c r="F6" i="1"/>
  <c r="M6" i="1"/>
  <c r="W6" i="1"/>
  <c r="U6" i="1"/>
  <c r="Q6" i="1"/>
  <c r="O6" i="1"/>
  <c r="R6" i="1" l="1"/>
  <c r="K6" i="1"/>
  <c r="L6" i="1"/>
  <c r="S6" i="1" l="1"/>
  <c r="T6" i="1"/>
  <c r="X6" i="1" l="1"/>
  <c r="Z6" i="1" s="1"/>
  <c r="H7" i="1"/>
  <c r="N7" i="1"/>
  <c r="W7" i="1"/>
  <c r="I7" i="1"/>
  <c r="M7" i="1"/>
  <c r="J7" i="1"/>
  <c r="O7" i="1"/>
  <c r="Q7" i="1"/>
  <c r="E7" i="1"/>
  <c r="P7" i="1"/>
  <c r="R7" i="1"/>
  <c r="F7" i="1" l="1"/>
  <c r="G7" i="1"/>
  <c r="V7" i="1"/>
  <c r="U7" i="1"/>
  <c r="L7" i="1"/>
  <c r="K7" i="1"/>
  <c r="S7" i="1" s="1"/>
  <c r="T7" i="1" l="1"/>
  <c r="X7" i="1" s="1"/>
  <c r="Z7" i="1" l="1"/>
  <c r="I8" i="1"/>
  <c r="N8" i="1"/>
  <c r="P8" i="1"/>
  <c r="J8" i="1"/>
  <c r="M8" i="1"/>
  <c r="H8" i="1"/>
  <c r="G8" i="1"/>
  <c r="W8" i="1"/>
  <c r="Q8" i="1"/>
  <c r="V8" i="1"/>
  <c r="F8" i="1"/>
  <c r="E8" i="1"/>
  <c r="U8" i="1"/>
  <c r="R8" i="1"/>
  <c r="O8" i="1"/>
  <c r="L8" i="1" l="1"/>
  <c r="K8" i="1"/>
  <c r="S8" i="1" l="1"/>
  <c r="T8" i="1"/>
  <c r="X8" i="1" s="1"/>
  <c r="Z8" i="1" l="1"/>
  <c r="R9" i="1"/>
  <c r="J9" i="1"/>
  <c r="M9" i="1"/>
  <c r="W9" i="1"/>
  <c r="N9" i="1"/>
  <c r="H9" i="1"/>
  <c r="E9" i="1"/>
  <c r="I9" i="1"/>
  <c r="O9" i="1"/>
  <c r="P9" i="1"/>
  <c r="G9" i="1"/>
  <c r="U9" i="1"/>
  <c r="Q9" i="1"/>
  <c r="V9" i="1"/>
  <c r="F9" i="1"/>
  <c r="L9" i="1" l="1"/>
  <c r="K9" i="1"/>
  <c r="S9" i="1" s="1"/>
  <c r="T9" i="1" l="1"/>
  <c r="X9" i="1" s="1"/>
  <c r="Z9" i="1" l="1"/>
  <c r="O10" i="1"/>
  <c r="M10" i="1"/>
  <c r="R10" i="1"/>
  <c r="F10" i="1"/>
  <c r="E10" i="1"/>
  <c r="I10" i="1"/>
  <c r="W10" i="1"/>
  <c r="G10" i="1"/>
  <c r="U10" i="1"/>
  <c r="Q10" i="1"/>
  <c r="V10" i="1"/>
  <c r="P10" i="1"/>
  <c r="J10" i="1"/>
  <c r="N10" i="1"/>
  <c r="H10" i="1"/>
  <c r="K10" i="1" l="1"/>
  <c r="L10" i="1"/>
  <c r="S10" i="1" l="1"/>
  <c r="T10" i="1"/>
  <c r="X10" i="1" l="1"/>
  <c r="Z10" i="1" l="1"/>
  <c r="I11" i="1"/>
  <c r="Q11" i="1"/>
  <c r="F11" i="1"/>
  <c r="N11" i="1"/>
  <c r="O11" i="1"/>
  <c r="E11" i="1"/>
  <c r="V11" i="1"/>
  <c r="P11" i="1"/>
  <c r="M11" i="1"/>
  <c r="G11" i="1"/>
  <c r="R11" i="1"/>
  <c r="H11" i="1"/>
  <c r="J11" i="1"/>
  <c r="U11" i="1"/>
  <c r="W11" i="1"/>
  <c r="L11" i="1" l="1"/>
  <c r="K11" i="1"/>
  <c r="S11" i="1" l="1"/>
  <c r="T11" i="1"/>
  <c r="X11" i="1" s="1"/>
  <c r="Z11" i="1" l="1"/>
  <c r="V12" i="1"/>
  <c r="G12" i="1"/>
  <c r="R12" i="1"/>
  <c r="P12" i="1"/>
  <c r="U12" i="1"/>
  <c r="I12" i="1"/>
  <c r="O12" i="1"/>
  <c r="Q12" i="1"/>
  <c r="H12" i="1"/>
  <c r="M12" i="1"/>
  <c r="J12" i="1"/>
  <c r="N12" i="1"/>
  <c r="F12" i="1"/>
  <c r="W12" i="1"/>
  <c r="E12" i="1"/>
  <c r="L12" i="1" l="1"/>
  <c r="K12" i="1"/>
  <c r="S12" i="1" s="1"/>
  <c r="T12" i="1" l="1"/>
  <c r="X12" i="1" s="1"/>
  <c r="Z12" i="1" l="1"/>
  <c r="G13" i="1"/>
  <c r="H13" i="1"/>
  <c r="W13" i="1"/>
  <c r="Q13" i="1"/>
  <c r="P13" i="1"/>
  <c r="J13" i="1"/>
  <c r="F13" i="1"/>
  <c r="M13" i="1"/>
  <c r="V13" i="1"/>
  <c r="N13" i="1"/>
  <c r="U13" i="1"/>
  <c r="R13" i="1"/>
  <c r="E13" i="1"/>
  <c r="O13" i="1"/>
  <c r="I13" i="1"/>
  <c r="K13" i="1" l="1"/>
  <c r="L13" i="1"/>
  <c r="T13" i="1" s="1"/>
  <c r="S13" i="1" l="1"/>
  <c r="X13" i="1" s="1"/>
  <c r="Z13" i="1" s="1"/>
  <c r="O14" i="1"/>
  <c r="E14" i="1"/>
  <c r="P14" i="1"/>
  <c r="V14" i="1"/>
  <c r="G14" i="1"/>
  <c r="R14" i="1"/>
  <c r="M14" i="1"/>
  <c r="F14" i="1"/>
  <c r="Q14" i="1"/>
  <c r="N14" i="1" l="1"/>
  <c r="W14" i="1"/>
  <c r="J14" i="1"/>
  <c r="U14" i="1"/>
  <c r="H14" i="1"/>
  <c r="L14" i="1" s="1"/>
  <c r="I14" i="1"/>
  <c r="K14" i="1" s="1"/>
  <c r="T14" i="1" l="1"/>
  <c r="S14" i="1"/>
  <c r="X14" i="1" s="1"/>
  <c r="Z14" i="1" l="1"/>
  <c r="G15" i="1"/>
  <c r="J15" i="1"/>
  <c r="R15" i="1"/>
  <c r="O15" i="1"/>
  <c r="F15" i="1"/>
  <c r="H15" i="1"/>
  <c r="P15" i="1"/>
  <c r="M15" i="1"/>
  <c r="N15" i="1"/>
  <c r="I15" i="1"/>
  <c r="U15" i="1"/>
  <c r="W15" i="1"/>
  <c r="E15" i="1"/>
  <c r="V15" i="1"/>
  <c r="Q15" i="1"/>
  <c r="L15" i="1" l="1"/>
  <c r="K15" i="1"/>
  <c r="T15" i="1" s="1"/>
  <c r="S15" i="1" l="1"/>
  <c r="X15" i="1" s="1"/>
  <c r="Z15" i="1" l="1"/>
  <c r="P16" i="1"/>
  <c r="J16" i="1"/>
  <c r="U16" i="1"/>
  <c r="Q16" i="1"/>
  <c r="M16" i="1"/>
  <c r="O16" i="1"/>
  <c r="E16" i="1"/>
  <c r="W16" i="1"/>
  <c r="N16" i="1"/>
  <c r="G16" i="1"/>
  <c r="F16" i="1"/>
  <c r="V16" i="1"/>
  <c r="R16" i="1"/>
  <c r="I16" i="1"/>
  <c r="H16" i="1"/>
  <c r="L16" i="1" l="1"/>
  <c r="K16" i="1"/>
  <c r="T16" i="1" l="1"/>
  <c r="S16" i="1"/>
  <c r="X16" i="1" s="1"/>
  <c r="Z16" i="1" s="1"/>
  <c r="H17" i="1" l="1"/>
  <c r="G17" i="1"/>
  <c r="F17" i="1"/>
  <c r="U17" i="1"/>
  <c r="O17" i="1"/>
  <c r="N17" i="1"/>
  <c r="P17" i="1"/>
  <c r="M17" i="1"/>
  <c r="J17" i="1"/>
  <c r="W17" i="1"/>
  <c r="Q17" i="1"/>
  <c r="R17" i="1"/>
  <c r="E17" i="1"/>
  <c r="I17" i="1"/>
  <c r="V17" i="1"/>
  <c r="L17" i="1" l="1"/>
  <c r="K17" i="1"/>
  <c r="T17" i="1" s="1"/>
  <c r="S17" i="1"/>
  <c r="X17" i="1" l="1"/>
  <c r="Z17" i="1" s="1"/>
  <c r="F18" i="1"/>
  <c r="V18" i="1"/>
  <c r="J18" i="1"/>
  <c r="E18" i="1"/>
  <c r="H18" i="1"/>
  <c r="G18" i="1"/>
  <c r="W18" i="1"/>
  <c r="Q18" i="1"/>
  <c r="N18" i="1"/>
  <c r="I18" i="1"/>
  <c r="O18" i="1"/>
  <c r="P18" i="1"/>
  <c r="R18" i="1"/>
  <c r="U18" i="1"/>
  <c r="M18" i="1" l="1"/>
  <c r="K18" i="1"/>
  <c r="L18" i="1"/>
  <c r="S18" i="1" l="1"/>
  <c r="T18" i="1"/>
  <c r="X18" i="1" l="1"/>
  <c r="Z18" i="1" l="1"/>
  <c r="H19" i="1"/>
  <c r="M19" i="1"/>
  <c r="E19" i="1"/>
  <c r="O19" i="1"/>
  <c r="N19" i="1"/>
  <c r="W19" i="1"/>
  <c r="I19" i="1"/>
  <c r="V19" i="1"/>
  <c r="U19" i="1"/>
  <c r="R19" i="1"/>
  <c r="F19" i="1"/>
  <c r="P19" i="1"/>
  <c r="Q19" i="1"/>
  <c r="J19" i="1"/>
  <c r="G19" i="1"/>
  <c r="K19" i="1" l="1"/>
  <c r="L19" i="1"/>
  <c r="S19" i="1" s="1"/>
  <c r="T19" i="1" l="1"/>
  <c r="X19" i="1" s="1"/>
  <c r="Z19" i="1" l="1"/>
  <c r="I20" i="1"/>
  <c r="J20" i="1"/>
  <c r="P20" i="1"/>
  <c r="V20" i="1"/>
  <c r="N20" i="1"/>
  <c r="O20" i="1"/>
  <c r="E20" i="1"/>
  <c r="R20" i="1"/>
  <c r="H20" i="1"/>
  <c r="Q20" i="1"/>
  <c r="M20" i="1"/>
  <c r="G20" i="1"/>
  <c r="F20" i="1"/>
  <c r="W20" i="1"/>
  <c r="U20" i="1"/>
  <c r="K20" i="1" l="1"/>
  <c r="L20" i="1"/>
  <c r="S20" i="1" l="1"/>
  <c r="T20" i="1"/>
  <c r="X20" i="1" s="1"/>
  <c r="Z20" i="1" l="1"/>
  <c r="P21" i="1"/>
  <c r="H21" i="1"/>
  <c r="E21" i="1"/>
  <c r="U21" i="1"/>
  <c r="R21" i="1"/>
  <c r="O21" i="1"/>
  <c r="F21" i="1"/>
  <c r="Q21" i="1"/>
  <c r="G21" i="1"/>
  <c r="I21" i="1"/>
  <c r="V21" i="1"/>
  <c r="W21" i="1"/>
  <c r="N21" i="1"/>
  <c r="M21" i="1"/>
  <c r="J21" i="1"/>
  <c r="K21" i="1" l="1"/>
  <c r="L21" i="1"/>
  <c r="S21" i="1" l="1"/>
  <c r="T21" i="1"/>
  <c r="X21" i="1" l="1"/>
  <c r="Z21" i="1" s="1"/>
  <c r="N22" i="1"/>
  <c r="Q22" i="1"/>
  <c r="M22" i="1"/>
  <c r="R22" i="1"/>
  <c r="W22" i="1"/>
  <c r="U22" i="1"/>
  <c r="E22" i="1"/>
  <c r="V22" i="1"/>
  <c r="F22" i="1"/>
  <c r="H22" i="1"/>
  <c r="I22" i="1"/>
  <c r="J22" i="1" l="1"/>
  <c r="G22" i="1"/>
  <c r="P22" i="1"/>
  <c r="O22" i="1"/>
  <c r="L22" i="1"/>
  <c r="K22" i="1"/>
  <c r="S22" i="1" l="1"/>
  <c r="T22" i="1"/>
  <c r="X22" i="1" s="1"/>
  <c r="Z22" i="1" s="1"/>
</calcChain>
</file>

<file path=xl/sharedStrings.xml><?xml version="1.0" encoding="utf-8"?>
<sst xmlns="http://schemas.openxmlformats.org/spreadsheetml/2006/main" count="48" uniqueCount="26">
  <si>
    <t>ID</t>
  </si>
  <si>
    <t>x1​</t>
  </si>
  <si>
    <t>x2​</t>
  </si>
  <si>
    <t>y (Label)</t>
  </si>
  <si>
    <t>w11</t>
    <phoneticPr fontId="1" type="noConversion"/>
  </si>
  <si>
    <t>w12</t>
    <phoneticPr fontId="1" type="noConversion"/>
  </si>
  <si>
    <t>w13</t>
    <phoneticPr fontId="1" type="noConversion"/>
  </si>
  <si>
    <t>w14</t>
    <phoneticPr fontId="1" type="noConversion"/>
  </si>
  <si>
    <t>y11</t>
    <phoneticPr fontId="1" type="noConversion"/>
  </si>
  <si>
    <t>y12</t>
    <phoneticPr fontId="1" type="noConversion"/>
  </si>
  <si>
    <t>w21</t>
    <phoneticPr fontId="1" type="noConversion"/>
  </si>
  <si>
    <t>w22</t>
    <phoneticPr fontId="1" type="noConversion"/>
  </si>
  <si>
    <t>w23</t>
    <phoneticPr fontId="1" type="noConversion"/>
  </si>
  <si>
    <t>w24</t>
    <phoneticPr fontId="1" type="noConversion"/>
  </si>
  <si>
    <t>y21</t>
    <phoneticPr fontId="1" type="noConversion"/>
  </si>
  <si>
    <t>y22</t>
    <phoneticPr fontId="1" type="noConversion"/>
  </si>
  <si>
    <t>w31</t>
    <phoneticPr fontId="1" type="noConversion"/>
  </si>
  <si>
    <t>w32</t>
    <phoneticPr fontId="1" type="noConversion"/>
  </si>
  <si>
    <t>y</t>
    <phoneticPr fontId="1" type="noConversion"/>
  </si>
  <si>
    <t>b</t>
    <phoneticPr fontId="1" type="noConversion"/>
  </si>
  <si>
    <t>b11</t>
    <phoneticPr fontId="1" type="noConversion"/>
  </si>
  <si>
    <t>b12</t>
    <phoneticPr fontId="1" type="noConversion"/>
  </si>
  <si>
    <t>b21</t>
    <phoneticPr fontId="1" type="noConversion"/>
  </si>
  <si>
    <t>b22</t>
    <phoneticPr fontId="1" type="noConversion"/>
  </si>
  <si>
    <t>Cross
Entropy</t>
    <phoneticPr fontId="1" type="noConversion"/>
  </si>
  <si>
    <t>alpha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</si>
</sst>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0" borderId="0" xfId="0" applyFont="1">
      <alignment vertical="center"/>
    </xf>
    <xf numFmtId="2" fontId="0" fillId="0" borderId="0" xfId="0" applyNumberFormat="1">
      <alignment vertical="center"/>
    </xf>
    <xf numFmtId="2" fontId="6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F9B2-3ED3-4DE9-8BDE-550D4A5CFEFA}">
  <dimension ref="A1:AV32"/>
  <sheetViews>
    <sheetView tabSelected="1" zoomScale="70" zoomScaleNormal="70" workbookViewId="0">
      <selection activeCell="W30" sqref="W30"/>
    </sheetView>
  </sheetViews>
  <sheetFormatPr defaultRowHeight="16.5"/>
  <cols>
    <col min="1" max="1" width="3.75" style="6" bestFit="1" customWidth="1"/>
    <col min="2" max="3" width="4.5" style="6" bestFit="1" customWidth="1"/>
    <col min="4" max="4" width="9.25" style="6" bestFit="1" customWidth="1"/>
    <col min="5" max="12" width="5.5" style="6" bestFit="1" customWidth="1"/>
    <col min="13" max="17" width="5.5" style="6" customWidth="1"/>
    <col min="18" max="20" width="5.5" style="6" bestFit="1" customWidth="1"/>
    <col min="21" max="21" width="5.5" style="6" customWidth="1"/>
    <col min="22" max="24" width="5.5" style="6" bestFit="1" customWidth="1"/>
    <col min="25" max="25" width="5.5" style="6" customWidth="1"/>
    <col min="26" max="26" width="8" style="6" bestFit="1" customWidth="1"/>
    <col min="27" max="32" width="5.625" bestFit="1" customWidth="1"/>
    <col min="33" max="34" width="6.25" bestFit="1" customWidth="1"/>
    <col min="35" max="38" width="5.625" bestFit="1" customWidth="1"/>
    <col min="39" max="40" width="6.375" bestFit="1" customWidth="1"/>
    <col min="41" max="42" width="6.25" bestFit="1" customWidth="1"/>
    <col min="43" max="43" width="6.375" bestFit="1" customWidth="1"/>
    <col min="44" max="44" width="5.875" bestFit="1" customWidth="1"/>
    <col min="45" max="45" width="6.375" bestFit="1" customWidth="1"/>
    <col min="46" max="46" width="6.25" bestFit="1" customWidth="1"/>
    <col min="47" max="47" width="6.5" customWidth="1"/>
    <col min="48" max="48" width="8.375" bestFit="1" customWidth="1"/>
  </cols>
  <sheetData>
    <row r="1" spans="1:48" ht="3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20</v>
      </c>
      <c r="J1" s="3" t="s">
        <v>21</v>
      </c>
      <c r="K1" s="4" t="s">
        <v>8</v>
      </c>
      <c r="L1" s="4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22</v>
      </c>
      <c r="R1" s="3" t="s">
        <v>23</v>
      </c>
      <c r="S1" s="4" t="s">
        <v>14</v>
      </c>
      <c r="T1" s="4" t="s">
        <v>15</v>
      </c>
      <c r="U1" s="2" t="s">
        <v>16</v>
      </c>
      <c r="V1" s="2" t="s">
        <v>17</v>
      </c>
      <c r="W1" s="3" t="s">
        <v>19</v>
      </c>
      <c r="X1" s="4" t="s">
        <v>18</v>
      </c>
      <c r="Y1" s="4" t="s">
        <v>25</v>
      </c>
      <c r="Z1" s="5" t="s">
        <v>24</v>
      </c>
      <c r="AA1" s="2" t="s">
        <v>4</v>
      </c>
      <c r="AB1" s="2" t="s">
        <v>5</v>
      </c>
      <c r="AC1" s="2" t="s">
        <v>6</v>
      </c>
      <c r="AD1" s="2" t="s">
        <v>7</v>
      </c>
      <c r="AE1" s="3" t="s">
        <v>20</v>
      </c>
      <c r="AF1" s="3" t="s">
        <v>21</v>
      </c>
      <c r="AG1" s="4" t="s">
        <v>8</v>
      </c>
      <c r="AH1" s="4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3" t="s">
        <v>22</v>
      </c>
      <c r="AN1" s="3" t="s">
        <v>23</v>
      </c>
      <c r="AO1" s="4" t="s">
        <v>14</v>
      </c>
      <c r="AP1" s="4" t="s">
        <v>15</v>
      </c>
      <c r="AQ1" s="2" t="s">
        <v>16</v>
      </c>
      <c r="AR1" s="2" t="s">
        <v>17</v>
      </c>
      <c r="AS1" s="3" t="s">
        <v>19</v>
      </c>
      <c r="AT1" s="4" t="s">
        <v>18</v>
      </c>
      <c r="AU1" s="4" t="s">
        <v>25</v>
      </c>
      <c r="AV1" s="5" t="s">
        <v>24</v>
      </c>
    </row>
    <row r="2" spans="1:48">
      <c r="A2" s="6">
        <v>1</v>
      </c>
      <c r="B2" s="6">
        <v>0.1</v>
      </c>
      <c r="C2" s="6">
        <v>0.2</v>
      </c>
      <c r="D2" s="6">
        <v>0</v>
      </c>
      <c r="E2" s="7">
        <v>0.01</v>
      </c>
      <c r="F2" s="7">
        <v>0.01</v>
      </c>
      <c r="G2" s="7">
        <v>0.01</v>
      </c>
      <c r="H2" s="7">
        <v>0.01</v>
      </c>
      <c r="I2" s="7">
        <v>0.01</v>
      </c>
      <c r="J2" s="7">
        <v>0.01</v>
      </c>
      <c r="K2" s="7">
        <f>MAX(0,E2*$B2+G2*$C2+I2)</f>
        <v>1.3000000000000001E-2</v>
      </c>
      <c r="L2" s="7">
        <f>MAX(0,F2*$B2+H2*$C2+J2)</f>
        <v>1.3000000000000001E-2</v>
      </c>
      <c r="M2" s="7">
        <v>0.01</v>
      </c>
      <c r="N2" s="7">
        <v>0.01</v>
      </c>
      <c r="O2" s="7">
        <v>0.01</v>
      </c>
      <c r="P2" s="7">
        <v>0.01</v>
      </c>
      <c r="Q2" s="7">
        <v>0.01</v>
      </c>
      <c r="R2" s="7">
        <v>0.01</v>
      </c>
      <c r="S2" s="7">
        <f>MAX(0,M2*$K2+O2*$L2+Q2)</f>
        <v>1.026E-2</v>
      </c>
      <c r="T2" s="7">
        <f>MAX(0,N2*$K2+P2*$L2+R2)</f>
        <v>1.026E-2</v>
      </c>
      <c r="U2" s="7">
        <v>0.01</v>
      </c>
      <c r="V2" s="7">
        <v>0.01</v>
      </c>
      <c r="W2" s="7">
        <v>0.01</v>
      </c>
      <c r="X2" s="7">
        <f>1/(1+EXP(-(U2*$S2+V2*$T2+W2)))</f>
        <v>0.50255127785790032</v>
      </c>
      <c r="Y2" s="7">
        <v>4</v>
      </c>
      <c r="Z2" s="8">
        <f>-($D$2*LN(X2)+(1-$D$2)*LN(1-X2))</f>
        <v>0.69826279876683395</v>
      </c>
      <c r="AA2" s="10">
        <v>9.9597958977713681E-3</v>
      </c>
      <c r="AB2" s="10">
        <v>9.919591795542736E-3</v>
      </c>
      <c r="AC2" s="10">
        <v>9.9597958977713681E-3</v>
      </c>
      <c r="AD2" s="10">
        <v>9.919591795542736E-3</v>
      </c>
      <c r="AE2" s="10">
        <v>9.5979589777136793E-3</v>
      </c>
      <c r="AF2" s="10">
        <v>9.5979589777136793E-3</v>
      </c>
      <c r="AG2" s="7">
        <f>MAX(0,AA2*$B2+AC2*$C2+AE2)</f>
        <v>1.2585897747045089E-2</v>
      </c>
      <c r="AH2" s="7">
        <f>MAX(0,AB2*$B2+AD2*$C2+AF2)</f>
        <v>1.25738365163765E-2</v>
      </c>
      <c r="AI2" s="10">
        <v>9.7386733355138925E-3</v>
      </c>
      <c r="AJ2" s="11">
        <v>9.7386733355138925E-3</v>
      </c>
      <c r="AK2" s="10">
        <v>9.7386733355138925E-3</v>
      </c>
      <c r="AL2" s="10">
        <v>9.7386733355138925E-3</v>
      </c>
      <c r="AM2" s="10">
        <v>-1.0102051114316014E-2</v>
      </c>
      <c r="AN2" s="10">
        <v>-1.0102051114316014E-2</v>
      </c>
      <c r="AO2" s="7">
        <f>MAX(0,AI2*$AG2+AK2*$AH2+AM2)</f>
        <v>0</v>
      </c>
      <c r="AP2" s="7">
        <f>MAX(0,AJ2*$AG2+AL2*$AH2+AN2)</f>
        <v>0</v>
      </c>
      <c r="AQ2" s="10">
        <v>-1.0624704443288229E-2</v>
      </c>
      <c r="AR2" s="11">
        <v>-1.0624704443288229E-2</v>
      </c>
      <c r="AS2" s="10">
        <v>-4.4535529438011947</v>
      </c>
      <c r="AT2" s="7">
        <f>1/(1+EXP(-(AQ2*$AO2+AR2*$AP2+AS2)))</f>
        <v>1.1503281916590289E-2</v>
      </c>
      <c r="AU2" s="8">
        <v>4</v>
      </c>
      <c r="AV2" s="8">
        <f>-($D$2*LN(AT2)+(1-$D$2)*LN(1-AT2))</f>
        <v>1.1569956474691034E-2</v>
      </c>
    </row>
    <row r="3" spans="1:48">
      <c r="A3" s="6">
        <v>2</v>
      </c>
      <c r="B3" s="6">
        <v>0.2</v>
      </c>
      <c r="C3" s="6">
        <v>0.1</v>
      </c>
      <c r="D3" s="6">
        <v>0</v>
      </c>
      <c r="E3">
        <f>E2 - $Y$2 * ((X2-D$2)*U2*IF(S2&gt;0,1,0)*M2 + (X2-D$2)*V2*IF(T2&gt;0,1,0)*O2) * IF(K2&gt;0,1,0) * B$2</f>
        <v>9.9597958977713681E-3</v>
      </c>
      <c r="F3">
        <f>F2 - $Y$2 * ((X2-D$2)*U2*IF(S2&gt;0,1,0)*M2 + (X2-D$2)*V2*IF(T2&gt;0,1,0)*O2) * IF(K2&gt;0,1,0) * C$2</f>
        <v>9.919591795542736E-3</v>
      </c>
      <c r="G3">
        <f>G2 - $Y$2 * ((X2-D$2)*U2*IF(S2&gt;0,1,0)*N2 + (X2-D$2)*V2*IF(T2&gt;0,1,0)*P2) * IF(L2&gt;0,1,0) * B$2</f>
        <v>9.9597958977713681E-3</v>
      </c>
      <c r="H3">
        <f>H2 - $Y$2 * ((X2-D$2)*U2*IF(S2&gt;0,1,0)*N2 + (X2-D$2)*V2*IF(T2&gt;0,1,0)*P2) * IF(L2&gt;0,1,0) * C$2</f>
        <v>9.919591795542736E-3</v>
      </c>
      <c r="I3">
        <f>I2 - $Y$2 * ((X2-D$2)*U2*IF(S2&gt;0,1,0)*M2 + (X2-D$2)*V2*IF(T2&gt;0,1,0)*O2) * IF(K2&gt;0,1,0)</f>
        <v>9.5979589777136793E-3</v>
      </c>
      <c r="J3">
        <f>J2 - $Y$2 * ((X2-D$2)*U2*IF(S2&gt;0,1,0)*N2 + (X2-D$2)*V2*IF(T2&gt;0,1,0)*P2) * IF(L2&gt;0,1,0)</f>
        <v>9.5979589777136793E-3</v>
      </c>
      <c r="K3" s="7">
        <f>MAX(0,E3*$B2+G3*$C2+I3)</f>
        <v>1.2585897747045089E-2</v>
      </c>
      <c r="L3" s="7">
        <f>MAX(0,F3*$B2+H3*$C2+J3)</f>
        <v>1.25738365163765E-2</v>
      </c>
      <c r="M3">
        <f>M2 - $Y$2 * (X2 - D$2) * U2 * IF(S2&gt;0, 1, 0) * K2</f>
        <v>9.7386733355138925E-3</v>
      </c>
      <c r="N3" s="9">
        <f>N2 - $Y$2 * (X2 - D$2) * U2 * IF(S2&gt;0, 1, 0) * L2</f>
        <v>9.7386733355138925E-3</v>
      </c>
      <c r="O3">
        <f>O2 - $Y$2 * (X2 - D$2) * V2 * IF(T2&gt;0, 1, 0) * K2</f>
        <v>9.7386733355138925E-3</v>
      </c>
      <c r="P3">
        <f>P2 - $Y$2 * (X2 - D$2) * V2 * IF(T2&gt;0, 1, 0) * L2</f>
        <v>9.7386733355138925E-3</v>
      </c>
      <c r="Q3">
        <f>Q2 - $Y$2 * (X2 - D$2) * U2 * IF(S2&gt;0, 1, 0)</f>
        <v>-1.0102051114316014E-2</v>
      </c>
      <c r="R3">
        <f>R2 - $Y$2 * (X2 - D$2) * V2 * IF(T2&gt;0, 1, 0)</f>
        <v>-1.0102051114316014E-2</v>
      </c>
      <c r="S3" s="7">
        <f>MAX(0,M3*$K3+O3*$L3+Q3)</f>
        <v>0</v>
      </c>
      <c r="T3" s="7">
        <f>MAX(0,N3*$K3+P3*$L3+R3)</f>
        <v>0</v>
      </c>
      <c r="U3">
        <f>U2 - $Y$2 * (X2 - D$2) * S2</f>
        <v>-1.0624704443288229E-2</v>
      </c>
      <c r="V3" s="9">
        <f>V2 - $Y$2 * (X2 - D$2) * T2</f>
        <v>-1.0624704443288229E-2</v>
      </c>
      <c r="W3">
        <f>W2 - $Y$2 * (X2 - D$2) * 1</f>
        <v>-2.0002051114316015</v>
      </c>
      <c r="X3" s="7">
        <f>1/(1+EXP(-(U3*$S3+V3*$T3+W3)))</f>
        <v>0.11918138831948975</v>
      </c>
      <c r="Y3" s="7">
        <f>Y2</f>
        <v>4</v>
      </c>
      <c r="Z3" s="8">
        <f>-($D$2*LN(X3)+(1-$D$2)*LN(1-X3))</f>
        <v>0.12690356336944725</v>
      </c>
      <c r="AA3" s="10">
        <v>9.9597958977713681E-3</v>
      </c>
      <c r="AB3" s="10">
        <v>9.919591795542736E-3</v>
      </c>
      <c r="AC3" s="10">
        <v>9.9597958977713681E-3</v>
      </c>
      <c r="AD3" s="10">
        <v>9.919591795542736E-3</v>
      </c>
      <c r="AE3" s="10">
        <v>9.5979589777136793E-3</v>
      </c>
      <c r="AF3" s="10">
        <v>9.5979589777136793E-3</v>
      </c>
      <c r="AG3" s="7">
        <f t="shared" ref="AG3:AG16" si="0">MAX(0,AA3*$B3+AC3*$C3+AE3)</f>
        <v>1.2585897747045089E-2</v>
      </c>
      <c r="AH3" s="7">
        <f t="shared" ref="AH3:AH16" si="1">MAX(0,AB3*$B3+AD3*$C3+AF3)</f>
        <v>1.25738365163765E-2</v>
      </c>
      <c r="AI3" s="10">
        <v>9.7386733355138925E-3</v>
      </c>
      <c r="AJ3" s="11">
        <v>9.7386733355138925E-3</v>
      </c>
      <c r="AK3" s="10">
        <v>9.7386733355138925E-3</v>
      </c>
      <c r="AL3" s="10">
        <v>9.7386733355138925E-3</v>
      </c>
      <c r="AM3" s="10">
        <v>-1.0102051114316014E-2</v>
      </c>
      <c r="AN3" s="10">
        <v>-1.0102051114316014E-2</v>
      </c>
      <c r="AO3" s="7">
        <f t="shared" ref="AO3:AO16" si="2">MAX(0,AI3*$AG3+AK3*$AH3+AM3)</f>
        <v>0</v>
      </c>
      <c r="AP3" s="7">
        <f t="shared" ref="AP3:AP16" si="3">MAX(0,AJ3*$AG3+AL3*$AH3+AN3)</f>
        <v>0</v>
      </c>
      <c r="AQ3" s="10">
        <v>-1.0624704443288229E-2</v>
      </c>
      <c r="AR3" s="11">
        <v>-1.0624704443288229E-2</v>
      </c>
      <c r="AS3" s="10">
        <v>-4.4535529438011947</v>
      </c>
      <c r="AT3" s="7">
        <f t="shared" ref="AT3:AT16" si="4">1/(1+EXP(-(AQ3*$AO3+AR3*$AP3+AS3)))</f>
        <v>1.1503281916590289E-2</v>
      </c>
      <c r="AU3" s="8">
        <v>5</v>
      </c>
      <c r="AV3" s="8">
        <f t="shared" ref="AV3:AV22" si="5">-($D$2*LN(AT3)+(1-$D$2)*LN(1-AT3))</f>
        <v>1.1569956474691034E-2</v>
      </c>
    </row>
    <row r="4" spans="1:48">
      <c r="A4" s="6">
        <v>3</v>
      </c>
      <c r="B4" s="6">
        <v>0.5</v>
      </c>
      <c r="C4" s="6">
        <v>0.4</v>
      </c>
      <c r="D4" s="6">
        <v>0</v>
      </c>
      <c r="E4">
        <f t="shared" ref="E4:E22" si="6">E3 - $Y$2 * ((X3-D$2)*U3*IF(S3&gt;0,1,0)*M3 + (X3-D$2)*V3*IF(T3&gt;0,1,0)*O3) * IF(K3&gt;0,1,0) * B$2</f>
        <v>9.9597958977713681E-3</v>
      </c>
      <c r="F4">
        <f t="shared" ref="F4:F22" si="7">F3 - $Y$2 * ((X3-D$2)*U3*IF(S3&gt;0,1,0)*M3 + (X3-D$2)*V3*IF(T3&gt;0,1,0)*O3) * IF(K3&gt;0,1,0) * C$2</f>
        <v>9.919591795542736E-3</v>
      </c>
      <c r="G4">
        <f t="shared" ref="G4:G22" si="8">G3 - $Y$2 * ((X3-D$2)*U3*IF(S3&gt;0,1,0)*N3 + (X3-D$2)*V3*IF(T3&gt;0,1,0)*P3) * IF(L3&gt;0,1,0) * B$2</f>
        <v>9.9597958977713681E-3</v>
      </c>
      <c r="H4">
        <f t="shared" ref="H4:H22" si="9">H3 - $Y$2 * ((X3-D$2)*U3*IF(S3&gt;0,1,0)*N3 + (X3-D$2)*V3*IF(T3&gt;0,1,0)*P3) * IF(L3&gt;0,1,0) * C$2</f>
        <v>9.919591795542736E-3</v>
      </c>
      <c r="I4">
        <f t="shared" ref="I4:I22" si="10">I3 - $Y$2 * ((X3-D$2)*U3*IF(S3&gt;0,1,0)*M3 + (X3-D$2)*V3*IF(T3&gt;0,1,0)*O3) * IF(K3&gt;0,1,0)</f>
        <v>9.5979589777136793E-3</v>
      </c>
      <c r="J4">
        <f t="shared" ref="J4:J22" si="11">J3 - $Y$2 * ((X3-D$2)*U3*IF(S3&gt;0,1,0)*N3 + (X3-D$2)*V3*IF(T3&gt;0,1,0)*P3) * IF(L3&gt;0,1,0)</f>
        <v>9.5979589777136793E-3</v>
      </c>
      <c r="K4" s="7">
        <f t="shared" ref="K4:K22" si="12">MAX(0,E4*$B3+G4*$C3+I4)</f>
        <v>1.2585897747045089E-2</v>
      </c>
      <c r="L4" s="7">
        <f t="shared" ref="L4:L22" si="13">MAX(0,F4*$B3+H4*$C3+J4)</f>
        <v>1.25738365163765E-2</v>
      </c>
      <c r="M4">
        <f t="shared" ref="M4:M22" si="14">M3 - $Y$2 * (X3 - D$2) * U3 * IF(S3&gt;0, 1, 0) * K3</f>
        <v>9.7386733355138925E-3</v>
      </c>
      <c r="N4" s="9">
        <f t="shared" ref="N4:N22" si="15">N3 - $Y$2 * (X3 - D$2) * U3 * IF(S3&gt;0, 1, 0) * L3</f>
        <v>9.7386733355138925E-3</v>
      </c>
      <c r="O4">
        <f t="shared" ref="O4:O22" si="16">O3 - $Y$2 * (X3 - D$2) * V3 * IF(T3&gt;0, 1, 0) * K3</f>
        <v>9.7386733355138925E-3</v>
      </c>
      <c r="P4">
        <f t="shared" ref="P4:P22" si="17">P3 - $Y$2 * (X3 - D$2) * V3 * IF(T3&gt;0, 1, 0) * L3</f>
        <v>9.7386733355138925E-3</v>
      </c>
      <c r="Q4">
        <f t="shared" ref="Q4:Q22" si="18">Q3 - $Y$2 * (X3 - D$2) * U3 * IF(S3&gt;0, 1, 0)</f>
        <v>-1.0102051114316014E-2</v>
      </c>
      <c r="R4">
        <f t="shared" ref="R4:R22" si="19">R3 - $Y$2 * (X3 - D$2) * V3 * IF(T3&gt;0, 1, 0)</f>
        <v>-1.0102051114316014E-2</v>
      </c>
      <c r="S4" s="7">
        <f t="shared" ref="S4:S22" si="20">MAX(0,M4*$K4+O4*$L4+Q4)</f>
        <v>0</v>
      </c>
      <c r="T4" s="7">
        <f t="shared" ref="T4:T22" si="21">MAX(0,N4*$K4+P4*$L4+R4)</f>
        <v>0</v>
      </c>
      <c r="U4">
        <f t="shared" ref="U4:U22" si="22">U3 - $Y$2 * (X3 - D$2) * S3</f>
        <v>-1.0624704443288229E-2</v>
      </c>
      <c r="V4" s="9">
        <f t="shared" ref="V4:V22" si="23">V3 - $Y$2 * (X3 - D$2) * T3</f>
        <v>-1.0624704443288229E-2</v>
      </c>
      <c r="W4">
        <f t="shared" ref="W4:W22" si="24">W3 - $Y$2 * (X3 - D$2) * 1</f>
        <v>-2.4769306647095606</v>
      </c>
      <c r="X4" s="7">
        <f t="shared" ref="X4:X22" si="25">1/(1+EXP(-(U4*$S4+V4*$T4+W4)))</f>
        <v>7.7491333603016271E-2</v>
      </c>
      <c r="Y4" s="7">
        <f t="shared" ref="Y4:Y22" si="26">Y3</f>
        <v>4</v>
      </c>
      <c r="Z4" s="8">
        <f t="shared" ref="Z4:Z22" si="27">-($D$2*LN(X4)+(1-$D$2)*LN(1-X4))</f>
        <v>8.0658508643307522E-2</v>
      </c>
      <c r="AA4" s="10">
        <v>9.9597958977713681E-3</v>
      </c>
      <c r="AB4" s="10">
        <v>9.919591795542736E-3</v>
      </c>
      <c r="AC4" s="10">
        <v>9.9597958977713681E-3</v>
      </c>
      <c r="AD4" s="10">
        <v>9.919591795542736E-3</v>
      </c>
      <c r="AE4" s="10">
        <v>9.5979589777136793E-3</v>
      </c>
      <c r="AF4" s="10">
        <v>9.5979589777136793E-3</v>
      </c>
      <c r="AG4" s="7">
        <f t="shared" si="0"/>
        <v>1.8561775285707911E-2</v>
      </c>
      <c r="AH4" s="7">
        <f t="shared" si="1"/>
        <v>1.8525591593702144E-2</v>
      </c>
      <c r="AI4" s="10">
        <v>9.7386733355138925E-3</v>
      </c>
      <c r="AJ4" s="11">
        <v>9.7386733355138925E-3</v>
      </c>
      <c r="AK4" s="10">
        <v>9.7386733355138925E-3</v>
      </c>
      <c r="AL4" s="10">
        <v>9.7386733355138925E-3</v>
      </c>
      <c r="AM4" s="10">
        <v>-1.0102051114316014E-2</v>
      </c>
      <c r="AN4" s="10">
        <v>-1.0102051114316014E-2</v>
      </c>
      <c r="AO4" s="7">
        <f t="shared" si="2"/>
        <v>0</v>
      </c>
      <c r="AP4" s="7">
        <f t="shared" si="3"/>
        <v>0</v>
      </c>
      <c r="AQ4" s="10">
        <v>-1.0624704443288229E-2</v>
      </c>
      <c r="AR4" s="11">
        <v>-1.0624704443288229E-2</v>
      </c>
      <c r="AS4" s="10">
        <v>-4.4535529438011947</v>
      </c>
      <c r="AT4" s="7">
        <f t="shared" si="4"/>
        <v>1.1503281916590289E-2</v>
      </c>
      <c r="AU4" s="8">
        <v>6</v>
      </c>
      <c r="AV4" s="8">
        <f t="shared" si="5"/>
        <v>1.1569956474691034E-2</v>
      </c>
    </row>
    <row r="5" spans="1:48">
      <c r="A5" s="6">
        <v>4</v>
      </c>
      <c r="B5" s="6">
        <v>0.3</v>
      </c>
      <c r="C5" s="6">
        <v>0.8</v>
      </c>
      <c r="D5" s="6">
        <v>1</v>
      </c>
      <c r="E5">
        <f t="shared" si="6"/>
        <v>9.9597958977713681E-3</v>
      </c>
      <c r="F5">
        <f t="shared" si="7"/>
        <v>9.919591795542736E-3</v>
      </c>
      <c r="G5">
        <f t="shared" si="8"/>
        <v>9.9597958977713681E-3</v>
      </c>
      <c r="H5">
        <f t="shared" si="9"/>
        <v>9.919591795542736E-3</v>
      </c>
      <c r="I5">
        <f t="shared" si="10"/>
        <v>9.5979589777136793E-3</v>
      </c>
      <c r="J5">
        <f t="shared" si="11"/>
        <v>9.5979589777136793E-3</v>
      </c>
      <c r="K5" s="7">
        <f t="shared" si="12"/>
        <v>1.8561775285707911E-2</v>
      </c>
      <c r="L5" s="7">
        <f t="shared" si="13"/>
        <v>1.8525591593702144E-2</v>
      </c>
      <c r="M5">
        <f t="shared" si="14"/>
        <v>9.7386733355138925E-3</v>
      </c>
      <c r="N5" s="9">
        <f t="shared" si="15"/>
        <v>9.7386733355138925E-3</v>
      </c>
      <c r="O5">
        <f t="shared" si="16"/>
        <v>9.7386733355138925E-3</v>
      </c>
      <c r="P5">
        <f t="shared" si="17"/>
        <v>9.7386733355138925E-3</v>
      </c>
      <c r="Q5">
        <f t="shared" si="18"/>
        <v>-1.0102051114316014E-2</v>
      </c>
      <c r="R5">
        <f t="shared" si="19"/>
        <v>-1.0102051114316014E-2</v>
      </c>
      <c r="S5" s="7">
        <f t="shared" si="20"/>
        <v>0</v>
      </c>
      <c r="T5" s="7">
        <f t="shared" si="21"/>
        <v>0</v>
      </c>
      <c r="U5">
        <f t="shared" si="22"/>
        <v>-1.0624704443288229E-2</v>
      </c>
      <c r="V5" s="9">
        <f t="shared" si="23"/>
        <v>-1.0624704443288229E-2</v>
      </c>
      <c r="W5">
        <f t="shared" si="24"/>
        <v>-2.7868959991216258</v>
      </c>
      <c r="X5" s="7">
        <f t="shared" si="25"/>
        <v>5.8036412771347745E-2</v>
      </c>
      <c r="Y5" s="7">
        <f t="shared" si="26"/>
        <v>4</v>
      </c>
      <c r="Z5" s="8">
        <f t="shared" si="27"/>
        <v>5.9788659899541623E-2</v>
      </c>
      <c r="AA5" s="10">
        <v>9.9597958977713681E-3</v>
      </c>
      <c r="AB5" s="10">
        <v>9.919591795542736E-3</v>
      </c>
      <c r="AC5" s="10">
        <v>9.9597958977713681E-3</v>
      </c>
      <c r="AD5" s="10">
        <v>9.919591795542736E-3</v>
      </c>
      <c r="AE5" s="10">
        <v>9.5979589777136793E-3</v>
      </c>
      <c r="AF5" s="10">
        <v>9.5979589777136793E-3</v>
      </c>
      <c r="AG5" s="7">
        <f t="shared" si="0"/>
        <v>2.0553734465262184E-2</v>
      </c>
      <c r="AH5" s="7">
        <f t="shared" si="1"/>
        <v>2.050950995281069E-2</v>
      </c>
      <c r="AI5" s="10">
        <v>9.7386733355138925E-3</v>
      </c>
      <c r="AJ5" s="11">
        <v>9.7386733355138925E-3</v>
      </c>
      <c r="AK5" s="10">
        <v>9.7386733355138925E-3</v>
      </c>
      <c r="AL5" s="10">
        <v>9.7386733355138925E-3</v>
      </c>
      <c r="AM5" s="10">
        <v>-1.0102051114316014E-2</v>
      </c>
      <c r="AN5" s="10">
        <v>-1.0102051114316014E-2</v>
      </c>
      <c r="AO5" s="7">
        <f t="shared" si="2"/>
        <v>0</v>
      </c>
      <c r="AP5" s="7">
        <f t="shared" si="3"/>
        <v>0</v>
      </c>
      <c r="AQ5" s="10">
        <v>-1.0624704443288229E-2</v>
      </c>
      <c r="AR5" s="11">
        <v>-1.0624704443288229E-2</v>
      </c>
      <c r="AS5" s="10">
        <v>-4.4535529438011947</v>
      </c>
      <c r="AT5" s="7">
        <f t="shared" si="4"/>
        <v>1.1503281916590289E-2</v>
      </c>
      <c r="AU5" s="8">
        <v>7</v>
      </c>
      <c r="AV5" s="8">
        <f t="shared" si="5"/>
        <v>1.1569956474691034E-2</v>
      </c>
    </row>
    <row r="6" spans="1:48">
      <c r="A6" s="6">
        <v>5</v>
      </c>
      <c r="B6" s="6">
        <v>0.1</v>
      </c>
      <c r="C6" s="6">
        <v>0.9</v>
      </c>
      <c r="D6" s="6">
        <v>1</v>
      </c>
      <c r="E6">
        <f t="shared" si="6"/>
        <v>9.9597958977713681E-3</v>
      </c>
      <c r="F6">
        <f t="shared" si="7"/>
        <v>9.919591795542736E-3</v>
      </c>
      <c r="G6">
        <f t="shared" si="8"/>
        <v>9.9597958977713681E-3</v>
      </c>
      <c r="H6">
        <f t="shared" si="9"/>
        <v>9.919591795542736E-3</v>
      </c>
      <c r="I6">
        <f t="shared" si="10"/>
        <v>9.5979589777136793E-3</v>
      </c>
      <c r="J6">
        <f t="shared" si="11"/>
        <v>9.5979589777136793E-3</v>
      </c>
      <c r="K6" s="7">
        <f t="shared" si="12"/>
        <v>2.0553734465262184E-2</v>
      </c>
      <c r="L6" s="7">
        <f t="shared" si="13"/>
        <v>2.050950995281069E-2</v>
      </c>
      <c r="M6">
        <f t="shared" si="14"/>
        <v>9.7386733355138925E-3</v>
      </c>
      <c r="N6" s="9">
        <f t="shared" si="15"/>
        <v>9.7386733355138925E-3</v>
      </c>
      <c r="O6">
        <f t="shared" si="16"/>
        <v>9.7386733355138925E-3</v>
      </c>
      <c r="P6">
        <f t="shared" si="17"/>
        <v>9.7386733355138925E-3</v>
      </c>
      <c r="Q6">
        <f t="shared" si="18"/>
        <v>-1.0102051114316014E-2</v>
      </c>
      <c r="R6">
        <f t="shared" si="19"/>
        <v>-1.0102051114316014E-2</v>
      </c>
      <c r="S6" s="7">
        <f t="shared" si="20"/>
        <v>0</v>
      </c>
      <c r="T6" s="7">
        <f t="shared" si="21"/>
        <v>0</v>
      </c>
      <c r="U6">
        <f t="shared" si="22"/>
        <v>-1.0624704443288229E-2</v>
      </c>
      <c r="V6" s="9">
        <f t="shared" si="23"/>
        <v>-1.0624704443288229E-2</v>
      </c>
      <c r="W6">
        <f t="shared" si="24"/>
        <v>-3.0190416502070168</v>
      </c>
      <c r="X6" s="7">
        <f t="shared" si="25"/>
        <v>4.6573010558694034E-2</v>
      </c>
      <c r="Y6" s="7">
        <f t="shared" si="26"/>
        <v>4</v>
      </c>
      <c r="Z6" s="8">
        <f t="shared" si="27"/>
        <v>4.7692427988948738E-2</v>
      </c>
      <c r="AA6" s="10">
        <v>9.9597958977713681E-3</v>
      </c>
      <c r="AB6" s="10">
        <v>9.919591795542736E-3</v>
      </c>
      <c r="AC6" s="10">
        <v>9.9597958977713681E-3</v>
      </c>
      <c r="AD6" s="10">
        <v>9.919591795542736E-3</v>
      </c>
      <c r="AE6" s="10">
        <v>9.5979589777136793E-3</v>
      </c>
      <c r="AF6" s="10">
        <v>9.5979589777136793E-3</v>
      </c>
      <c r="AG6" s="7">
        <f t="shared" si="0"/>
        <v>1.9557754875485049E-2</v>
      </c>
      <c r="AH6" s="7">
        <f t="shared" si="1"/>
        <v>1.9517550773256415E-2</v>
      </c>
      <c r="AI6" s="10">
        <v>9.7386733355138925E-3</v>
      </c>
      <c r="AJ6" s="11">
        <v>9.7386733355138925E-3</v>
      </c>
      <c r="AK6" s="10">
        <v>9.7386733355138925E-3</v>
      </c>
      <c r="AL6" s="10">
        <v>9.7386733355138925E-3</v>
      </c>
      <c r="AM6" s="10">
        <v>-1.0102051114316014E-2</v>
      </c>
      <c r="AN6" s="10">
        <v>-1.0102051114316014E-2</v>
      </c>
      <c r="AO6" s="7">
        <f t="shared" si="2"/>
        <v>0</v>
      </c>
      <c r="AP6" s="7">
        <f t="shared" si="3"/>
        <v>0</v>
      </c>
      <c r="AQ6" s="10">
        <v>-1.0624704443288229E-2</v>
      </c>
      <c r="AR6" s="11">
        <v>-1.0624704443288229E-2</v>
      </c>
      <c r="AS6" s="10">
        <v>-4.4535529438011947</v>
      </c>
      <c r="AT6" s="7">
        <f>1/(1+EXP(-(AQ6*$AO6+AR6*$AP6+AS6)))</f>
        <v>1.1503281916590289E-2</v>
      </c>
      <c r="AU6" s="8">
        <v>8</v>
      </c>
      <c r="AV6" s="8">
        <f t="shared" si="5"/>
        <v>1.1569956474691034E-2</v>
      </c>
    </row>
    <row r="7" spans="1:48">
      <c r="A7" s="6">
        <v>6</v>
      </c>
      <c r="B7" s="6">
        <v>0.7</v>
      </c>
      <c r="C7" s="6">
        <v>0.2</v>
      </c>
      <c r="D7" s="6">
        <v>0</v>
      </c>
      <c r="E7">
        <f t="shared" si="6"/>
        <v>9.9597958977713681E-3</v>
      </c>
      <c r="F7">
        <f t="shared" si="7"/>
        <v>9.919591795542736E-3</v>
      </c>
      <c r="G7">
        <f t="shared" si="8"/>
        <v>9.9597958977713681E-3</v>
      </c>
      <c r="H7">
        <f t="shared" si="9"/>
        <v>9.919591795542736E-3</v>
      </c>
      <c r="I7">
        <f t="shared" si="10"/>
        <v>9.5979589777136793E-3</v>
      </c>
      <c r="J7">
        <f t="shared" si="11"/>
        <v>9.5979589777136793E-3</v>
      </c>
      <c r="K7" s="7">
        <f t="shared" si="12"/>
        <v>1.9557754875485049E-2</v>
      </c>
      <c r="L7" s="7">
        <f t="shared" si="13"/>
        <v>1.9517550773256415E-2</v>
      </c>
      <c r="M7">
        <f t="shared" si="14"/>
        <v>9.7386733355138925E-3</v>
      </c>
      <c r="N7" s="9">
        <f t="shared" si="15"/>
        <v>9.7386733355138925E-3</v>
      </c>
      <c r="O7">
        <f t="shared" si="16"/>
        <v>9.7386733355138925E-3</v>
      </c>
      <c r="P7">
        <f t="shared" si="17"/>
        <v>9.7386733355138925E-3</v>
      </c>
      <c r="Q7">
        <f t="shared" si="18"/>
        <v>-1.0102051114316014E-2</v>
      </c>
      <c r="R7">
        <f t="shared" si="19"/>
        <v>-1.0102051114316014E-2</v>
      </c>
      <c r="S7" s="7">
        <f t="shared" si="20"/>
        <v>0</v>
      </c>
      <c r="T7" s="7">
        <f t="shared" si="21"/>
        <v>0</v>
      </c>
      <c r="U7">
        <f t="shared" si="22"/>
        <v>-1.0624704443288229E-2</v>
      </c>
      <c r="V7" s="9">
        <f t="shared" si="23"/>
        <v>-1.0624704443288229E-2</v>
      </c>
      <c r="W7">
        <f t="shared" si="24"/>
        <v>-3.2053336924417928</v>
      </c>
      <c r="X7" s="7">
        <f t="shared" si="25"/>
        <v>3.8965499129211538E-2</v>
      </c>
      <c r="Y7" s="7">
        <f t="shared" si="26"/>
        <v>4</v>
      </c>
      <c r="Z7" s="8">
        <f t="shared" si="27"/>
        <v>3.9744969646084705E-2</v>
      </c>
      <c r="AA7" s="10">
        <v>9.9597958977713681E-3</v>
      </c>
      <c r="AB7" s="10">
        <v>9.919591795542736E-3</v>
      </c>
      <c r="AC7" s="10">
        <v>9.9597958977713681E-3</v>
      </c>
      <c r="AD7" s="10">
        <v>9.919591795542736E-3</v>
      </c>
      <c r="AE7" s="10">
        <v>9.5979589777136793E-3</v>
      </c>
      <c r="AF7" s="10">
        <v>9.5979589777136793E-3</v>
      </c>
      <c r="AG7" s="7">
        <f t="shared" si="0"/>
        <v>1.8561775285707911E-2</v>
      </c>
      <c r="AH7" s="7">
        <f t="shared" si="1"/>
        <v>1.8525591593702144E-2</v>
      </c>
      <c r="AI7" s="10">
        <v>9.7386733355138925E-3</v>
      </c>
      <c r="AJ7" s="11">
        <v>9.7386733355138925E-3</v>
      </c>
      <c r="AK7" s="10">
        <v>9.7386733355138925E-3</v>
      </c>
      <c r="AL7" s="10">
        <v>9.7386733355138925E-3</v>
      </c>
      <c r="AM7" s="10">
        <v>-1.0102051114316014E-2</v>
      </c>
      <c r="AN7" s="10">
        <v>-1.0102051114316014E-2</v>
      </c>
      <c r="AO7" s="7">
        <f t="shared" si="2"/>
        <v>0</v>
      </c>
      <c r="AP7" s="7">
        <f t="shared" si="3"/>
        <v>0</v>
      </c>
      <c r="AQ7" s="10">
        <v>-1.0624704443288229E-2</v>
      </c>
      <c r="AR7" s="11">
        <v>-1.0624704443288229E-2</v>
      </c>
      <c r="AS7" s="10">
        <v>-4.4535529438011947</v>
      </c>
      <c r="AT7" s="7">
        <f t="shared" si="4"/>
        <v>1.1503281916590289E-2</v>
      </c>
      <c r="AU7" s="8">
        <v>9</v>
      </c>
      <c r="AV7" s="8">
        <f t="shared" si="5"/>
        <v>1.1569956474691034E-2</v>
      </c>
    </row>
    <row r="8" spans="1:48">
      <c r="A8" s="6">
        <v>7</v>
      </c>
      <c r="B8" s="6">
        <v>0.9</v>
      </c>
      <c r="C8" s="6">
        <v>0.1</v>
      </c>
      <c r="D8" s="6">
        <v>0</v>
      </c>
      <c r="E8">
        <f t="shared" si="6"/>
        <v>9.9597958977713681E-3</v>
      </c>
      <c r="F8">
        <f t="shared" si="7"/>
        <v>9.919591795542736E-3</v>
      </c>
      <c r="G8">
        <f t="shared" si="8"/>
        <v>9.9597958977713681E-3</v>
      </c>
      <c r="H8">
        <f t="shared" si="9"/>
        <v>9.919591795542736E-3</v>
      </c>
      <c r="I8">
        <f t="shared" si="10"/>
        <v>9.5979589777136793E-3</v>
      </c>
      <c r="J8">
        <f t="shared" si="11"/>
        <v>9.5979589777136793E-3</v>
      </c>
      <c r="K8" s="7">
        <f t="shared" si="12"/>
        <v>1.8561775285707911E-2</v>
      </c>
      <c r="L8" s="7">
        <f t="shared" si="13"/>
        <v>1.8525591593702144E-2</v>
      </c>
      <c r="M8">
        <f t="shared" si="14"/>
        <v>9.7386733355138925E-3</v>
      </c>
      <c r="N8" s="9">
        <f t="shared" si="15"/>
        <v>9.7386733355138925E-3</v>
      </c>
      <c r="O8">
        <f t="shared" si="16"/>
        <v>9.7386733355138925E-3</v>
      </c>
      <c r="P8">
        <f t="shared" si="17"/>
        <v>9.7386733355138925E-3</v>
      </c>
      <c r="Q8">
        <f t="shared" si="18"/>
        <v>-1.0102051114316014E-2</v>
      </c>
      <c r="R8">
        <f t="shared" si="19"/>
        <v>-1.0102051114316014E-2</v>
      </c>
      <c r="S8" s="7">
        <f t="shared" si="20"/>
        <v>0</v>
      </c>
      <c r="T8" s="7">
        <f t="shared" si="21"/>
        <v>0</v>
      </c>
      <c r="U8">
        <f t="shared" si="22"/>
        <v>-1.0624704443288229E-2</v>
      </c>
      <c r="V8" s="9">
        <f t="shared" si="23"/>
        <v>-1.0624704443288229E-2</v>
      </c>
      <c r="W8">
        <f t="shared" si="24"/>
        <v>-3.361195688958639</v>
      </c>
      <c r="X8" s="7">
        <f t="shared" si="25"/>
        <v>3.35304539715763E-2</v>
      </c>
      <c r="Y8" s="7">
        <f t="shared" si="26"/>
        <v>4</v>
      </c>
      <c r="Z8" s="8">
        <f t="shared" si="27"/>
        <v>3.4105490371394188E-2</v>
      </c>
      <c r="AA8" s="10">
        <v>9.9597958977713681E-3</v>
      </c>
      <c r="AB8" s="10">
        <v>9.919591795542736E-3</v>
      </c>
      <c r="AC8" s="10">
        <v>9.9597958977713681E-3</v>
      </c>
      <c r="AD8" s="10">
        <v>9.919591795542736E-3</v>
      </c>
      <c r="AE8" s="10">
        <v>9.5979589777136793E-3</v>
      </c>
      <c r="AF8" s="10">
        <v>9.5979589777136793E-3</v>
      </c>
      <c r="AG8" s="7">
        <f t="shared" si="0"/>
        <v>1.9557754875485049E-2</v>
      </c>
      <c r="AH8" s="7">
        <f t="shared" si="1"/>
        <v>1.9517550773256415E-2</v>
      </c>
      <c r="AI8" s="10">
        <v>9.7386733355138925E-3</v>
      </c>
      <c r="AJ8" s="11">
        <v>9.7386733355138925E-3</v>
      </c>
      <c r="AK8" s="10">
        <v>9.7386733355138925E-3</v>
      </c>
      <c r="AL8" s="10">
        <v>9.7386733355138925E-3</v>
      </c>
      <c r="AM8" s="10">
        <v>-1.0102051114316014E-2</v>
      </c>
      <c r="AN8" s="10">
        <v>-1.0102051114316014E-2</v>
      </c>
      <c r="AO8" s="7">
        <f t="shared" si="2"/>
        <v>0</v>
      </c>
      <c r="AP8" s="7">
        <f t="shared" si="3"/>
        <v>0</v>
      </c>
      <c r="AQ8" s="10">
        <v>-1.0624704443288229E-2</v>
      </c>
      <c r="AR8" s="11">
        <v>-1.0624704443288229E-2</v>
      </c>
      <c r="AS8" s="10">
        <v>-4.4535529438011947</v>
      </c>
      <c r="AT8" s="7">
        <f t="shared" si="4"/>
        <v>1.1503281916590289E-2</v>
      </c>
      <c r="AU8" s="8">
        <v>10</v>
      </c>
      <c r="AV8" s="8">
        <f t="shared" si="5"/>
        <v>1.1569956474691034E-2</v>
      </c>
    </row>
    <row r="9" spans="1:48">
      <c r="A9" s="6">
        <v>8</v>
      </c>
      <c r="B9" s="6">
        <v>0.6</v>
      </c>
      <c r="C9" s="6">
        <v>0.9</v>
      </c>
      <c r="D9" s="6">
        <v>1</v>
      </c>
      <c r="E9">
        <f t="shared" si="6"/>
        <v>9.9597958977713681E-3</v>
      </c>
      <c r="F9">
        <f t="shared" si="7"/>
        <v>9.919591795542736E-3</v>
      </c>
      <c r="G9">
        <f t="shared" si="8"/>
        <v>9.9597958977713681E-3</v>
      </c>
      <c r="H9">
        <f t="shared" si="9"/>
        <v>9.919591795542736E-3</v>
      </c>
      <c r="I9">
        <f t="shared" si="10"/>
        <v>9.5979589777136793E-3</v>
      </c>
      <c r="J9">
        <f t="shared" si="11"/>
        <v>9.5979589777136793E-3</v>
      </c>
      <c r="K9" s="7">
        <f t="shared" si="12"/>
        <v>1.9557754875485049E-2</v>
      </c>
      <c r="L9" s="7">
        <f t="shared" si="13"/>
        <v>1.9517550773256415E-2</v>
      </c>
      <c r="M9">
        <f t="shared" si="14"/>
        <v>9.7386733355138925E-3</v>
      </c>
      <c r="N9" s="9">
        <f t="shared" si="15"/>
        <v>9.7386733355138925E-3</v>
      </c>
      <c r="O9">
        <f t="shared" si="16"/>
        <v>9.7386733355138925E-3</v>
      </c>
      <c r="P9">
        <f t="shared" si="17"/>
        <v>9.7386733355138925E-3</v>
      </c>
      <c r="Q9">
        <f t="shared" si="18"/>
        <v>-1.0102051114316014E-2</v>
      </c>
      <c r="R9">
        <f t="shared" si="19"/>
        <v>-1.0102051114316014E-2</v>
      </c>
      <c r="S9" s="7">
        <f t="shared" si="20"/>
        <v>0</v>
      </c>
      <c r="T9" s="7">
        <f t="shared" si="21"/>
        <v>0</v>
      </c>
      <c r="U9">
        <f t="shared" si="22"/>
        <v>-1.0624704443288229E-2</v>
      </c>
      <c r="V9" s="9">
        <f t="shared" si="23"/>
        <v>-1.0624704443288229E-2</v>
      </c>
      <c r="W9">
        <f t="shared" si="24"/>
        <v>-3.4953175048449441</v>
      </c>
      <c r="X9" s="7">
        <f t="shared" si="25"/>
        <v>2.9445755942462945E-2</v>
      </c>
      <c r="Y9" s="7">
        <f t="shared" si="26"/>
        <v>4</v>
      </c>
      <c r="Z9" s="8">
        <f t="shared" si="27"/>
        <v>2.988798503699298E-2</v>
      </c>
      <c r="AA9" s="10">
        <v>9.9597958977713681E-3</v>
      </c>
      <c r="AB9" s="10">
        <v>9.919591795542736E-3</v>
      </c>
      <c r="AC9" s="10">
        <v>9.9597958977713681E-3</v>
      </c>
      <c r="AD9" s="10">
        <v>9.919591795542736E-3</v>
      </c>
      <c r="AE9" s="10">
        <v>9.5979589777136793E-3</v>
      </c>
      <c r="AF9" s="10">
        <v>9.5979589777136793E-3</v>
      </c>
      <c r="AG9" s="7">
        <f t="shared" si="0"/>
        <v>2.4537652824370731E-2</v>
      </c>
      <c r="AH9" s="7">
        <f t="shared" si="1"/>
        <v>2.4477346671027786E-2</v>
      </c>
      <c r="AI9" s="10">
        <v>9.7386733355138925E-3</v>
      </c>
      <c r="AJ9" s="11">
        <v>9.7386733355138925E-3</v>
      </c>
      <c r="AK9" s="10">
        <v>9.7386733355138925E-3</v>
      </c>
      <c r="AL9" s="10">
        <v>9.7386733355138925E-3</v>
      </c>
      <c r="AM9" s="10">
        <v>-1.0102051114316014E-2</v>
      </c>
      <c r="AN9" s="10">
        <v>-1.0102051114316014E-2</v>
      </c>
      <c r="AO9" s="7">
        <f t="shared" si="2"/>
        <v>0</v>
      </c>
      <c r="AP9" s="7">
        <f t="shared" si="3"/>
        <v>0</v>
      </c>
      <c r="AQ9" s="10">
        <v>-1.0624704443288229E-2</v>
      </c>
      <c r="AR9" s="11">
        <v>-1.0624704443288229E-2</v>
      </c>
      <c r="AS9" s="10">
        <v>-4.4535529438011947</v>
      </c>
      <c r="AT9" s="7">
        <f t="shared" si="4"/>
        <v>1.1503281916590289E-2</v>
      </c>
      <c r="AU9" s="8">
        <v>11</v>
      </c>
      <c r="AV9" s="8">
        <f t="shared" si="5"/>
        <v>1.1569956474691034E-2</v>
      </c>
    </row>
    <row r="10" spans="1:48">
      <c r="A10" s="6">
        <v>9</v>
      </c>
      <c r="B10" s="6">
        <v>0.8</v>
      </c>
      <c r="C10" s="6">
        <v>0.8</v>
      </c>
      <c r="D10" s="6">
        <v>1</v>
      </c>
      <c r="E10">
        <f t="shared" si="6"/>
        <v>9.9597958977713681E-3</v>
      </c>
      <c r="F10">
        <f t="shared" si="7"/>
        <v>9.919591795542736E-3</v>
      </c>
      <c r="G10">
        <f t="shared" si="8"/>
        <v>9.9597958977713681E-3</v>
      </c>
      <c r="H10">
        <f t="shared" si="9"/>
        <v>9.919591795542736E-3</v>
      </c>
      <c r="I10">
        <f t="shared" si="10"/>
        <v>9.5979589777136793E-3</v>
      </c>
      <c r="J10">
        <f t="shared" si="11"/>
        <v>9.5979589777136793E-3</v>
      </c>
      <c r="K10" s="7">
        <f t="shared" si="12"/>
        <v>2.4537652824370731E-2</v>
      </c>
      <c r="L10" s="7">
        <f t="shared" si="13"/>
        <v>2.4477346671027786E-2</v>
      </c>
      <c r="M10">
        <f t="shared" si="14"/>
        <v>9.7386733355138925E-3</v>
      </c>
      <c r="N10" s="9">
        <f t="shared" si="15"/>
        <v>9.7386733355138925E-3</v>
      </c>
      <c r="O10">
        <f t="shared" si="16"/>
        <v>9.7386733355138925E-3</v>
      </c>
      <c r="P10">
        <f t="shared" si="17"/>
        <v>9.7386733355138925E-3</v>
      </c>
      <c r="Q10">
        <f t="shared" si="18"/>
        <v>-1.0102051114316014E-2</v>
      </c>
      <c r="R10">
        <f t="shared" si="19"/>
        <v>-1.0102051114316014E-2</v>
      </c>
      <c r="S10" s="7">
        <f t="shared" si="20"/>
        <v>0</v>
      </c>
      <c r="T10" s="7">
        <f t="shared" si="21"/>
        <v>0</v>
      </c>
      <c r="U10">
        <f t="shared" si="22"/>
        <v>-1.0624704443288229E-2</v>
      </c>
      <c r="V10" s="9">
        <f t="shared" si="23"/>
        <v>-1.0624704443288229E-2</v>
      </c>
      <c r="W10">
        <f t="shared" si="24"/>
        <v>-3.6131005286147957</v>
      </c>
      <c r="X10" s="7">
        <f t="shared" si="25"/>
        <v>2.6259921500645968E-2</v>
      </c>
      <c r="Y10" s="7">
        <f t="shared" si="26"/>
        <v>4</v>
      </c>
      <c r="Z10" s="8">
        <f t="shared" si="27"/>
        <v>2.6610870809955584E-2</v>
      </c>
      <c r="AA10" s="10">
        <v>9.9597958977713681E-3</v>
      </c>
      <c r="AB10" s="10">
        <v>9.919591795542736E-3</v>
      </c>
      <c r="AC10" s="10">
        <v>9.9597958977713681E-3</v>
      </c>
      <c r="AD10" s="10">
        <v>9.919591795542736E-3</v>
      </c>
      <c r="AE10" s="10">
        <v>9.5979589777136793E-3</v>
      </c>
      <c r="AF10" s="10">
        <v>9.5979589777136793E-3</v>
      </c>
      <c r="AG10" s="7">
        <f t="shared" si="0"/>
        <v>2.5533632414147869E-2</v>
      </c>
      <c r="AH10" s="7">
        <f t="shared" si="1"/>
        <v>2.5469305850582061E-2</v>
      </c>
      <c r="AI10" s="10">
        <v>9.7386733355138925E-3</v>
      </c>
      <c r="AJ10" s="11">
        <v>9.7386733355138925E-3</v>
      </c>
      <c r="AK10" s="10">
        <v>9.7386733355138925E-3</v>
      </c>
      <c r="AL10" s="10">
        <v>9.7386733355138925E-3</v>
      </c>
      <c r="AM10" s="10">
        <v>-1.0102051114316014E-2</v>
      </c>
      <c r="AN10" s="10">
        <v>-1.0102051114316014E-2</v>
      </c>
      <c r="AO10" s="7">
        <f t="shared" si="2"/>
        <v>0</v>
      </c>
      <c r="AP10" s="7">
        <f t="shared" si="3"/>
        <v>0</v>
      </c>
      <c r="AQ10" s="10">
        <v>-1.0624704443288229E-2</v>
      </c>
      <c r="AR10" s="11">
        <v>-1.0624704443288229E-2</v>
      </c>
      <c r="AS10" s="10">
        <v>-4.4535529438011947</v>
      </c>
      <c r="AT10" s="7">
        <f t="shared" si="4"/>
        <v>1.1503281916590289E-2</v>
      </c>
      <c r="AU10" s="8">
        <v>12</v>
      </c>
      <c r="AV10" s="8">
        <f t="shared" si="5"/>
        <v>1.1569956474691034E-2</v>
      </c>
    </row>
    <row r="11" spans="1:48">
      <c r="A11" s="6">
        <v>10</v>
      </c>
      <c r="B11" s="6">
        <v>0.4</v>
      </c>
      <c r="C11" s="6">
        <v>0.7</v>
      </c>
      <c r="D11" s="6">
        <v>1</v>
      </c>
      <c r="E11">
        <f t="shared" si="6"/>
        <v>9.9597958977713681E-3</v>
      </c>
      <c r="F11">
        <f t="shared" si="7"/>
        <v>9.919591795542736E-3</v>
      </c>
      <c r="G11">
        <f t="shared" si="8"/>
        <v>9.9597958977713681E-3</v>
      </c>
      <c r="H11">
        <f t="shared" si="9"/>
        <v>9.919591795542736E-3</v>
      </c>
      <c r="I11">
        <f t="shared" si="10"/>
        <v>9.5979589777136793E-3</v>
      </c>
      <c r="J11">
        <f t="shared" si="11"/>
        <v>9.5979589777136793E-3</v>
      </c>
      <c r="K11" s="7">
        <f t="shared" si="12"/>
        <v>2.5533632414147869E-2</v>
      </c>
      <c r="L11" s="7">
        <f t="shared" si="13"/>
        <v>2.5469305850582061E-2</v>
      </c>
      <c r="M11">
        <f t="shared" si="14"/>
        <v>9.7386733355138925E-3</v>
      </c>
      <c r="N11" s="9">
        <f t="shared" si="15"/>
        <v>9.7386733355138925E-3</v>
      </c>
      <c r="O11">
        <f t="shared" si="16"/>
        <v>9.7386733355138925E-3</v>
      </c>
      <c r="P11">
        <f t="shared" si="17"/>
        <v>9.7386733355138925E-3</v>
      </c>
      <c r="Q11">
        <f t="shared" si="18"/>
        <v>-1.0102051114316014E-2</v>
      </c>
      <c r="R11">
        <f t="shared" si="19"/>
        <v>-1.0102051114316014E-2</v>
      </c>
      <c r="S11" s="7">
        <f t="shared" si="20"/>
        <v>0</v>
      </c>
      <c r="T11" s="7">
        <f t="shared" si="21"/>
        <v>0</v>
      </c>
      <c r="U11">
        <f t="shared" si="22"/>
        <v>-1.0624704443288229E-2</v>
      </c>
      <c r="V11" s="9">
        <f t="shared" si="23"/>
        <v>-1.0624704443288229E-2</v>
      </c>
      <c r="W11">
        <f t="shared" si="24"/>
        <v>-3.7181402146173794</v>
      </c>
      <c r="X11" s="7">
        <f t="shared" si="25"/>
        <v>2.3703578683608461E-2</v>
      </c>
      <c r="Y11" s="7">
        <f t="shared" si="26"/>
        <v>4</v>
      </c>
      <c r="Z11" s="8">
        <f t="shared" si="27"/>
        <v>2.3989028314546343E-2</v>
      </c>
      <c r="AA11" s="10">
        <v>9.9597958977713681E-3</v>
      </c>
      <c r="AB11" s="10">
        <v>9.919591795542736E-3</v>
      </c>
      <c r="AC11" s="10">
        <v>9.9597958977713681E-3</v>
      </c>
      <c r="AD11" s="10">
        <v>9.919591795542736E-3</v>
      </c>
      <c r="AE11" s="10">
        <v>9.5979589777136793E-3</v>
      </c>
      <c r="AF11" s="10">
        <v>9.5979589777136793E-3</v>
      </c>
      <c r="AG11" s="7">
        <f t="shared" si="0"/>
        <v>2.0553734465262184E-2</v>
      </c>
      <c r="AH11" s="7">
        <f t="shared" si="1"/>
        <v>2.0509509952810687E-2</v>
      </c>
      <c r="AI11" s="10">
        <v>9.7386733355138925E-3</v>
      </c>
      <c r="AJ11" s="11">
        <v>9.7386733355138925E-3</v>
      </c>
      <c r="AK11" s="10">
        <v>9.7386733355138925E-3</v>
      </c>
      <c r="AL11" s="10">
        <v>9.7386733355138925E-3</v>
      </c>
      <c r="AM11" s="10">
        <v>-1.0102051114316014E-2</v>
      </c>
      <c r="AN11" s="10">
        <v>-1.0102051114316014E-2</v>
      </c>
      <c r="AO11" s="7">
        <f t="shared" si="2"/>
        <v>0</v>
      </c>
      <c r="AP11" s="7">
        <f t="shared" si="3"/>
        <v>0</v>
      </c>
      <c r="AQ11" s="10">
        <v>-1.0624704443288229E-2</v>
      </c>
      <c r="AR11" s="11">
        <v>-1.0624704443288229E-2</v>
      </c>
      <c r="AS11" s="10">
        <v>-4.4535529438011947</v>
      </c>
      <c r="AT11" s="7">
        <f t="shared" si="4"/>
        <v>1.1503281916590289E-2</v>
      </c>
      <c r="AU11" s="8">
        <v>13</v>
      </c>
      <c r="AV11" s="8">
        <f t="shared" si="5"/>
        <v>1.1569956474691034E-2</v>
      </c>
    </row>
    <row r="12" spans="1:48">
      <c r="A12" s="6">
        <v>11</v>
      </c>
      <c r="B12" s="6">
        <v>0.2</v>
      </c>
      <c r="C12" s="6">
        <v>0.3</v>
      </c>
      <c r="D12" s="6">
        <v>0</v>
      </c>
      <c r="E12">
        <f t="shared" si="6"/>
        <v>9.9597958977713681E-3</v>
      </c>
      <c r="F12">
        <f t="shared" si="7"/>
        <v>9.919591795542736E-3</v>
      </c>
      <c r="G12">
        <f t="shared" si="8"/>
        <v>9.9597958977713681E-3</v>
      </c>
      <c r="H12">
        <f t="shared" si="9"/>
        <v>9.919591795542736E-3</v>
      </c>
      <c r="I12">
        <f t="shared" si="10"/>
        <v>9.5979589777136793E-3</v>
      </c>
      <c r="J12">
        <f t="shared" si="11"/>
        <v>9.5979589777136793E-3</v>
      </c>
      <c r="K12" s="7">
        <f t="shared" si="12"/>
        <v>2.0553734465262184E-2</v>
      </c>
      <c r="L12" s="7">
        <f t="shared" si="13"/>
        <v>2.0509509952810687E-2</v>
      </c>
      <c r="M12">
        <f t="shared" si="14"/>
        <v>9.7386733355138925E-3</v>
      </c>
      <c r="N12" s="9">
        <f t="shared" si="15"/>
        <v>9.7386733355138925E-3</v>
      </c>
      <c r="O12">
        <f t="shared" si="16"/>
        <v>9.7386733355138925E-3</v>
      </c>
      <c r="P12">
        <f t="shared" si="17"/>
        <v>9.7386733355138925E-3</v>
      </c>
      <c r="Q12">
        <f t="shared" si="18"/>
        <v>-1.0102051114316014E-2</v>
      </c>
      <c r="R12">
        <f t="shared" si="19"/>
        <v>-1.0102051114316014E-2</v>
      </c>
      <c r="S12" s="7">
        <f t="shared" si="20"/>
        <v>0</v>
      </c>
      <c r="T12" s="7">
        <f t="shared" si="21"/>
        <v>0</v>
      </c>
      <c r="U12">
        <f t="shared" si="22"/>
        <v>-1.0624704443288229E-2</v>
      </c>
      <c r="V12" s="9">
        <f t="shared" si="23"/>
        <v>-1.0624704443288229E-2</v>
      </c>
      <c r="W12">
        <f t="shared" si="24"/>
        <v>-3.8129545293518134</v>
      </c>
      <c r="X12" s="7">
        <f t="shared" si="25"/>
        <v>2.1605722415686167E-2</v>
      </c>
      <c r="Y12" s="7">
        <f t="shared" si="26"/>
        <v>4</v>
      </c>
      <c r="Z12" s="8">
        <f t="shared" si="27"/>
        <v>2.1842543374935589E-2</v>
      </c>
      <c r="AA12" s="10">
        <v>9.9597958977713681E-3</v>
      </c>
      <c r="AB12" s="10">
        <v>9.919591795542736E-3</v>
      </c>
      <c r="AC12" s="10">
        <v>9.9597958977713681E-3</v>
      </c>
      <c r="AD12" s="10">
        <v>9.919591795542736E-3</v>
      </c>
      <c r="AE12" s="10">
        <v>9.5979589777136793E-3</v>
      </c>
      <c r="AF12" s="10">
        <v>9.5979589777136793E-3</v>
      </c>
      <c r="AG12" s="7">
        <f t="shared" si="0"/>
        <v>1.4577856926599363E-2</v>
      </c>
      <c r="AH12" s="7">
        <f t="shared" si="1"/>
        <v>1.4557754875485048E-2</v>
      </c>
      <c r="AI12" s="10">
        <v>9.7386733355138925E-3</v>
      </c>
      <c r="AJ12" s="11">
        <v>9.7386733355138925E-3</v>
      </c>
      <c r="AK12" s="10">
        <v>9.7386733355138925E-3</v>
      </c>
      <c r="AL12" s="10">
        <v>9.7386733355138925E-3</v>
      </c>
      <c r="AM12" s="10">
        <v>-1.0102051114316014E-2</v>
      </c>
      <c r="AN12" s="10">
        <v>-1.0102051114316014E-2</v>
      </c>
      <c r="AO12" s="7">
        <f t="shared" si="2"/>
        <v>0</v>
      </c>
      <c r="AP12" s="7">
        <f t="shared" si="3"/>
        <v>0</v>
      </c>
      <c r="AQ12" s="10">
        <v>-1.0624704443288229E-2</v>
      </c>
      <c r="AR12" s="11">
        <v>-1.0624704443288229E-2</v>
      </c>
      <c r="AS12" s="10">
        <v>-4.4535529438011947</v>
      </c>
      <c r="AT12" s="7">
        <f t="shared" si="4"/>
        <v>1.1503281916590289E-2</v>
      </c>
      <c r="AU12" s="8">
        <v>14</v>
      </c>
      <c r="AV12" s="8">
        <f t="shared" si="5"/>
        <v>1.1569956474691034E-2</v>
      </c>
    </row>
    <row r="13" spans="1:48">
      <c r="A13" s="6">
        <v>12</v>
      </c>
      <c r="B13" s="6">
        <v>0.3</v>
      </c>
      <c r="C13" s="6">
        <v>0.2</v>
      </c>
      <c r="D13" s="6">
        <v>0</v>
      </c>
      <c r="E13">
        <f t="shared" si="6"/>
        <v>9.9597958977713681E-3</v>
      </c>
      <c r="F13">
        <f t="shared" si="7"/>
        <v>9.919591795542736E-3</v>
      </c>
      <c r="G13">
        <f t="shared" si="8"/>
        <v>9.9597958977713681E-3</v>
      </c>
      <c r="H13">
        <f t="shared" si="9"/>
        <v>9.919591795542736E-3</v>
      </c>
      <c r="I13">
        <f t="shared" si="10"/>
        <v>9.5979589777136793E-3</v>
      </c>
      <c r="J13">
        <f t="shared" si="11"/>
        <v>9.5979589777136793E-3</v>
      </c>
      <c r="K13" s="7">
        <f t="shared" si="12"/>
        <v>1.4577856926599363E-2</v>
      </c>
      <c r="L13" s="7">
        <f t="shared" si="13"/>
        <v>1.4557754875485048E-2</v>
      </c>
      <c r="M13">
        <f t="shared" si="14"/>
        <v>9.7386733355138925E-3</v>
      </c>
      <c r="N13" s="9">
        <f t="shared" si="15"/>
        <v>9.7386733355138925E-3</v>
      </c>
      <c r="O13">
        <f t="shared" si="16"/>
        <v>9.7386733355138925E-3</v>
      </c>
      <c r="P13">
        <f t="shared" si="17"/>
        <v>9.7386733355138925E-3</v>
      </c>
      <c r="Q13">
        <f t="shared" si="18"/>
        <v>-1.0102051114316014E-2</v>
      </c>
      <c r="R13">
        <f t="shared" si="19"/>
        <v>-1.0102051114316014E-2</v>
      </c>
      <c r="S13" s="7">
        <f t="shared" si="20"/>
        <v>0</v>
      </c>
      <c r="T13" s="7">
        <f t="shared" si="21"/>
        <v>0</v>
      </c>
      <c r="U13">
        <f t="shared" si="22"/>
        <v>-1.0624704443288229E-2</v>
      </c>
      <c r="V13" s="9">
        <f t="shared" si="23"/>
        <v>-1.0624704443288229E-2</v>
      </c>
      <c r="W13">
        <f t="shared" si="24"/>
        <v>-3.899377419014558</v>
      </c>
      <c r="X13" s="7">
        <f t="shared" si="25"/>
        <v>1.9852416479780532E-2</v>
      </c>
      <c r="Y13" s="7">
        <f t="shared" si="26"/>
        <v>4</v>
      </c>
      <c r="Z13" s="8">
        <f t="shared" si="27"/>
        <v>2.0052123227077338E-2</v>
      </c>
      <c r="AA13" s="10">
        <v>9.9597958977713681E-3</v>
      </c>
      <c r="AB13" s="10">
        <v>9.919591795542736E-3</v>
      </c>
      <c r="AC13" s="10">
        <v>9.9597958977713681E-3</v>
      </c>
      <c r="AD13" s="10">
        <v>9.919591795542736E-3</v>
      </c>
      <c r="AE13" s="10">
        <v>9.5979589777136793E-3</v>
      </c>
      <c r="AF13" s="10">
        <v>9.5979589777136793E-3</v>
      </c>
      <c r="AG13" s="7">
        <f t="shared" si="0"/>
        <v>1.4577856926599363E-2</v>
      </c>
      <c r="AH13" s="7">
        <f t="shared" si="1"/>
        <v>1.4557754875485048E-2</v>
      </c>
      <c r="AI13" s="10">
        <v>9.7386733355138925E-3</v>
      </c>
      <c r="AJ13" s="11">
        <v>9.7386733355138925E-3</v>
      </c>
      <c r="AK13" s="10">
        <v>9.7386733355138925E-3</v>
      </c>
      <c r="AL13" s="10">
        <v>9.7386733355138925E-3</v>
      </c>
      <c r="AM13" s="10">
        <v>-1.0102051114316014E-2</v>
      </c>
      <c r="AN13" s="10">
        <v>-1.0102051114316014E-2</v>
      </c>
      <c r="AO13" s="7">
        <f t="shared" si="2"/>
        <v>0</v>
      </c>
      <c r="AP13" s="7">
        <f t="shared" si="3"/>
        <v>0</v>
      </c>
      <c r="AQ13" s="10">
        <v>-1.0624704443288229E-2</v>
      </c>
      <c r="AR13" s="11">
        <v>-1.0624704443288229E-2</v>
      </c>
      <c r="AS13" s="10">
        <v>-4.4535529438011947</v>
      </c>
      <c r="AT13" s="7">
        <f t="shared" si="4"/>
        <v>1.1503281916590289E-2</v>
      </c>
      <c r="AU13" s="8">
        <v>15</v>
      </c>
      <c r="AV13" s="8">
        <f t="shared" si="5"/>
        <v>1.1569956474691034E-2</v>
      </c>
    </row>
    <row r="14" spans="1:48">
      <c r="A14" s="6">
        <v>13</v>
      </c>
      <c r="B14" s="6">
        <v>0.7</v>
      </c>
      <c r="C14" s="6">
        <v>0.7</v>
      </c>
      <c r="D14" s="6">
        <v>1</v>
      </c>
      <c r="E14">
        <f t="shared" si="6"/>
        <v>9.9597958977713681E-3</v>
      </c>
      <c r="F14">
        <f t="shared" si="7"/>
        <v>9.919591795542736E-3</v>
      </c>
      <c r="G14">
        <f t="shared" si="8"/>
        <v>9.9597958977713681E-3</v>
      </c>
      <c r="H14">
        <f t="shared" si="9"/>
        <v>9.919591795542736E-3</v>
      </c>
      <c r="I14">
        <f t="shared" si="10"/>
        <v>9.5979589777136793E-3</v>
      </c>
      <c r="J14">
        <f t="shared" si="11"/>
        <v>9.5979589777136793E-3</v>
      </c>
      <c r="K14" s="7">
        <f t="shared" si="12"/>
        <v>1.4577856926599363E-2</v>
      </c>
      <c r="L14" s="7">
        <f t="shared" si="13"/>
        <v>1.4557754875485048E-2</v>
      </c>
      <c r="M14">
        <f t="shared" si="14"/>
        <v>9.7386733355138925E-3</v>
      </c>
      <c r="N14" s="9">
        <f t="shared" si="15"/>
        <v>9.7386733355138925E-3</v>
      </c>
      <c r="O14">
        <f t="shared" si="16"/>
        <v>9.7386733355138925E-3</v>
      </c>
      <c r="P14">
        <f t="shared" si="17"/>
        <v>9.7386733355138925E-3</v>
      </c>
      <c r="Q14">
        <f t="shared" si="18"/>
        <v>-1.0102051114316014E-2</v>
      </c>
      <c r="R14">
        <f t="shared" si="19"/>
        <v>-1.0102051114316014E-2</v>
      </c>
      <c r="S14" s="7">
        <f t="shared" si="20"/>
        <v>0</v>
      </c>
      <c r="T14" s="7">
        <f t="shared" si="21"/>
        <v>0</v>
      </c>
      <c r="U14">
        <f t="shared" si="22"/>
        <v>-1.0624704443288229E-2</v>
      </c>
      <c r="V14" s="9">
        <f t="shared" si="23"/>
        <v>-1.0624704443288229E-2</v>
      </c>
      <c r="W14">
        <f t="shared" si="24"/>
        <v>-3.9787870849336802</v>
      </c>
      <c r="X14" s="7">
        <f t="shared" si="25"/>
        <v>1.8364743730902206E-2</v>
      </c>
      <c r="Y14" s="7">
        <f t="shared" si="26"/>
        <v>4</v>
      </c>
      <c r="Z14" s="8">
        <f t="shared" si="27"/>
        <v>1.8535469085882945E-2</v>
      </c>
      <c r="AA14" s="10">
        <v>9.9597958977713681E-3</v>
      </c>
      <c r="AB14" s="10">
        <v>9.919591795542736E-3</v>
      </c>
      <c r="AC14" s="10">
        <v>9.9597958977713681E-3</v>
      </c>
      <c r="AD14" s="10">
        <v>9.919591795542736E-3</v>
      </c>
      <c r="AE14" s="10">
        <v>9.5979589777136793E-3</v>
      </c>
      <c r="AF14" s="10">
        <v>9.5979589777136793E-3</v>
      </c>
      <c r="AG14" s="7">
        <f t="shared" si="0"/>
        <v>2.3541673234593594E-2</v>
      </c>
      <c r="AH14" s="7">
        <f t="shared" si="1"/>
        <v>2.3485387491473511E-2</v>
      </c>
      <c r="AI14" s="10">
        <v>9.7386733355138925E-3</v>
      </c>
      <c r="AJ14" s="11">
        <v>9.7386733355138925E-3</v>
      </c>
      <c r="AK14" s="10">
        <v>9.7386733355138925E-3</v>
      </c>
      <c r="AL14" s="10">
        <v>9.7386733355138925E-3</v>
      </c>
      <c r="AM14" s="10">
        <v>-1.0102051114316014E-2</v>
      </c>
      <c r="AN14" s="10">
        <v>-1.0102051114316014E-2</v>
      </c>
      <c r="AO14" s="7">
        <f t="shared" si="2"/>
        <v>0</v>
      </c>
      <c r="AP14" s="7">
        <f t="shared" si="3"/>
        <v>0</v>
      </c>
      <c r="AQ14" s="10">
        <v>-1.0624704443288229E-2</v>
      </c>
      <c r="AR14" s="11">
        <v>-1.0624704443288229E-2</v>
      </c>
      <c r="AS14" s="10">
        <v>-4.4535529438011947</v>
      </c>
      <c r="AT14" s="7">
        <f t="shared" si="4"/>
        <v>1.1503281916590289E-2</v>
      </c>
      <c r="AU14" s="8">
        <v>16</v>
      </c>
      <c r="AV14" s="8">
        <f t="shared" si="5"/>
        <v>1.1569956474691034E-2</v>
      </c>
    </row>
    <row r="15" spans="1:48">
      <c r="A15" s="6">
        <v>14</v>
      </c>
      <c r="B15" s="6">
        <v>0.1</v>
      </c>
      <c r="C15" s="6">
        <v>0.7</v>
      </c>
      <c r="D15" s="6">
        <v>1</v>
      </c>
      <c r="E15">
        <f t="shared" si="6"/>
        <v>9.9597958977713681E-3</v>
      </c>
      <c r="F15">
        <f t="shared" si="7"/>
        <v>9.919591795542736E-3</v>
      </c>
      <c r="G15">
        <f t="shared" si="8"/>
        <v>9.9597958977713681E-3</v>
      </c>
      <c r="H15">
        <f t="shared" si="9"/>
        <v>9.919591795542736E-3</v>
      </c>
      <c r="I15">
        <f t="shared" si="10"/>
        <v>9.5979589777136793E-3</v>
      </c>
      <c r="J15">
        <f t="shared" si="11"/>
        <v>9.5979589777136793E-3</v>
      </c>
      <c r="K15" s="7">
        <f t="shared" si="12"/>
        <v>2.3541673234593594E-2</v>
      </c>
      <c r="L15" s="7">
        <f t="shared" si="13"/>
        <v>2.3485387491473511E-2</v>
      </c>
      <c r="M15">
        <f t="shared" si="14"/>
        <v>9.7386733355138925E-3</v>
      </c>
      <c r="N15" s="9">
        <f t="shared" si="15"/>
        <v>9.7386733355138925E-3</v>
      </c>
      <c r="O15">
        <f t="shared" si="16"/>
        <v>9.7386733355138925E-3</v>
      </c>
      <c r="P15">
        <f t="shared" si="17"/>
        <v>9.7386733355138925E-3</v>
      </c>
      <c r="Q15">
        <f t="shared" si="18"/>
        <v>-1.0102051114316014E-2</v>
      </c>
      <c r="R15">
        <f t="shared" si="19"/>
        <v>-1.0102051114316014E-2</v>
      </c>
      <c r="S15" s="7">
        <f t="shared" si="20"/>
        <v>0</v>
      </c>
      <c r="T15" s="7">
        <f t="shared" si="21"/>
        <v>0</v>
      </c>
      <c r="U15">
        <f t="shared" si="22"/>
        <v>-1.0624704443288229E-2</v>
      </c>
      <c r="V15" s="9">
        <f t="shared" si="23"/>
        <v>-1.0624704443288229E-2</v>
      </c>
      <c r="W15">
        <f t="shared" si="24"/>
        <v>-4.0522460598572891</v>
      </c>
      <c r="X15" s="7">
        <f t="shared" si="25"/>
        <v>1.7086271301047784E-2</v>
      </c>
      <c r="Y15" s="7">
        <f t="shared" si="26"/>
        <v>4</v>
      </c>
      <c r="Z15" s="8">
        <f t="shared" si="27"/>
        <v>1.7233925963144794E-2</v>
      </c>
      <c r="AA15" s="10">
        <v>9.9597958977713681E-3</v>
      </c>
      <c r="AB15" s="10">
        <v>9.919591795542736E-3</v>
      </c>
      <c r="AC15" s="10">
        <v>9.9597958977713681E-3</v>
      </c>
      <c r="AD15" s="10">
        <v>9.919591795542736E-3</v>
      </c>
      <c r="AE15" s="10">
        <v>9.5979589777136793E-3</v>
      </c>
      <c r="AF15" s="10">
        <v>9.5979589777136793E-3</v>
      </c>
      <c r="AG15" s="7">
        <f t="shared" si="0"/>
        <v>1.7565795695930773E-2</v>
      </c>
      <c r="AH15" s="7">
        <f t="shared" si="1"/>
        <v>1.7533632414147869E-2</v>
      </c>
      <c r="AI15" s="10">
        <v>9.7386733355138925E-3</v>
      </c>
      <c r="AJ15" s="11">
        <v>9.7386733355138925E-3</v>
      </c>
      <c r="AK15" s="10">
        <v>9.7386733355138925E-3</v>
      </c>
      <c r="AL15" s="10">
        <v>9.7386733355138925E-3</v>
      </c>
      <c r="AM15" s="10">
        <v>-1.0102051114316014E-2</v>
      </c>
      <c r="AN15" s="10">
        <v>-1.0102051114316014E-2</v>
      </c>
      <c r="AO15" s="7">
        <f t="shared" si="2"/>
        <v>0</v>
      </c>
      <c r="AP15" s="7">
        <f t="shared" si="3"/>
        <v>0</v>
      </c>
      <c r="AQ15" s="10">
        <v>-1.0624704443288229E-2</v>
      </c>
      <c r="AR15" s="11">
        <v>-1.0624704443288229E-2</v>
      </c>
      <c r="AS15" s="10">
        <v>-4.4535529438011947</v>
      </c>
      <c r="AT15" s="7">
        <f t="shared" si="4"/>
        <v>1.1503281916590289E-2</v>
      </c>
      <c r="AU15" s="8">
        <v>17</v>
      </c>
      <c r="AV15" s="8">
        <f t="shared" si="5"/>
        <v>1.1569956474691034E-2</v>
      </c>
    </row>
    <row r="16" spans="1:48">
      <c r="A16" s="6">
        <v>15</v>
      </c>
      <c r="B16" s="6">
        <v>0.9</v>
      </c>
      <c r="C16" s="6">
        <v>0.3</v>
      </c>
      <c r="D16" s="6">
        <v>0</v>
      </c>
      <c r="E16">
        <f t="shared" si="6"/>
        <v>9.9597958977713681E-3</v>
      </c>
      <c r="F16">
        <f t="shared" si="7"/>
        <v>9.919591795542736E-3</v>
      </c>
      <c r="G16">
        <f t="shared" si="8"/>
        <v>9.9597958977713681E-3</v>
      </c>
      <c r="H16">
        <f t="shared" si="9"/>
        <v>9.919591795542736E-3</v>
      </c>
      <c r="I16">
        <f t="shared" si="10"/>
        <v>9.5979589777136793E-3</v>
      </c>
      <c r="J16">
        <f t="shared" si="11"/>
        <v>9.5979589777136793E-3</v>
      </c>
      <c r="K16" s="7">
        <f t="shared" si="12"/>
        <v>1.7565795695930773E-2</v>
      </c>
      <c r="L16" s="7">
        <f t="shared" si="13"/>
        <v>1.7533632414147869E-2</v>
      </c>
      <c r="M16">
        <f t="shared" si="14"/>
        <v>9.7386733355138925E-3</v>
      </c>
      <c r="N16" s="9">
        <f t="shared" si="15"/>
        <v>9.7386733355138925E-3</v>
      </c>
      <c r="O16">
        <f t="shared" si="16"/>
        <v>9.7386733355138925E-3</v>
      </c>
      <c r="P16">
        <f t="shared" si="17"/>
        <v>9.7386733355138925E-3</v>
      </c>
      <c r="Q16">
        <f t="shared" si="18"/>
        <v>-1.0102051114316014E-2</v>
      </c>
      <c r="R16">
        <f t="shared" si="19"/>
        <v>-1.0102051114316014E-2</v>
      </c>
      <c r="S16" s="7">
        <f t="shared" si="20"/>
        <v>0</v>
      </c>
      <c r="T16" s="7">
        <f t="shared" si="21"/>
        <v>0</v>
      </c>
      <c r="U16">
        <f t="shared" si="22"/>
        <v>-1.0624704443288229E-2</v>
      </c>
      <c r="V16" s="9">
        <f t="shared" si="23"/>
        <v>-1.0624704443288229E-2</v>
      </c>
      <c r="W16">
        <f t="shared" si="24"/>
        <v>-4.1205911450614803</v>
      </c>
      <c r="X16" s="7">
        <f t="shared" si="25"/>
        <v>1.5975552684673211E-2</v>
      </c>
      <c r="Y16" s="7">
        <f t="shared" si="26"/>
        <v>4</v>
      </c>
      <c r="Z16" s="8">
        <f t="shared" si="27"/>
        <v>1.6104537405862197E-2</v>
      </c>
      <c r="AA16" s="10">
        <v>9.9597958977713681E-3</v>
      </c>
      <c r="AB16" s="10">
        <v>9.919591795542736E-3</v>
      </c>
      <c r="AC16" s="10">
        <v>9.9597958977713681E-3</v>
      </c>
      <c r="AD16" s="10">
        <v>9.919591795542736E-3</v>
      </c>
      <c r="AE16" s="10">
        <v>9.5979589777136793E-3</v>
      </c>
      <c r="AF16" s="10">
        <v>9.5979589777136793E-3</v>
      </c>
      <c r="AG16" s="7">
        <f t="shared" si="0"/>
        <v>2.1549714055039321E-2</v>
      </c>
      <c r="AH16" s="7">
        <f t="shared" si="1"/>
        <v>2.1501469132364961E-2</v>
      </c>
      <c r="AI16" s="10">
        <v>9.7386733355138925E-3</v>
      </c>
      <c r="AJ16" s="11">
        <v>9.7386733355138925E-3</v>
      </c>
      <c r="AK16" s="10">
        <v>9.7386733355138925E-3</v>
      </c>
      <c r="AL16" s="10">
        <v>9.7386733355138925E-3</v>
      </c>
      <c r="AM16" s="10">
        <v>-1.0102051114316014E-2</v>
      </c>
      <c r="AN16" s="10">
        <v>-1.0102051114316014E-2</v>
      </c>
      <c r="AO16" s="7">
        <f t="shared" si="2"/>
        <v>0</v>
      </c>
      <c r="AP16" s="7">
        <f t="shared" si="3"/>
        <v>0</v>
      </c>
      <c r="AQ16" s="10">
        <v>-1.0624704443288229E-2</v>
      </c>
      <c r="AR16" s="11">
        <v>-1.0624704443288229E-2</v>
      </c>
      <c r="AS16" s="10">
        <v>-4.4535529438011947</v>
      </c>
      <c r="AT16" s="7">
        <f t="shared" si="4"/>
        <v>1.1503281916590289E-2</v>
      </c>
      <c r="AU16" s="8">
        <v>18</v>
      </c>
      <c r="AV16" s="8">
        <f t="shared" si="5"/>
        <v>1.1569956474691034E-2</v>
      </c>
    </row>
    <row r="17" spans="5:48">
      <c r="E17">
        <f t="shared" si="6"/>
        <v>9.9597958977713681E-3</v>
      </c>
      <c r="F17">
        <f t="shared" si="7"/>
        <v>9.919591795542736E-3</v>
      </c>
      <c r="G17">
        <f t="shared" si="8"/>
        <v>9.9597958977713681E-3</v>
      </c>
      <c r="H17">
        <f t="shared" si="9"/>
        <v>9.919591795542736E-3</v>
      </c>
      <c r="I17">
        <f t="shared" si="10"/>
        <v>9.5979589777136793E-3</v>
      </c>
      <c r="J17">
        <f t="shared" si="11"/>
        <v>9.5979589777136793E-3</v>
      </c>
      <c r="K17" s="7">
        <f t="shared" si="12"/>
        <v>2.1549714055039321E-2</v>
      </c>
      <c r="L17" s="7">
        <f t="shared" si="13"/>
        <v>2.1501469132364961E-2</v>
      </c>
      <c r="M17">
        <f t="shared" si="14"/>
        <v>9.7386733355138925E-3</v>
      </c>
      <c r="N17" s="9">
        <f t="shared" si="15"/>
        <v>9.7386733355138925E-3</v>
      </c>
      <c r="O17">
        <f t="shared" si="16"/>
        <v>9.7386733355138925E-3</v>
      </c>
      <c r="P17">
        <f t="shared" si="17"/>
        <v>9.7386733355138925E-3</v>
      </c>
      <c r="Q17">
        <f t="shared" si="18"/>
        <v>-1.0102051114316014E-2</v>
      </c>
      <c r="R17">
        <f t="shared" si="19"/>
        <v>-1.0102051114316014E-2</v>
      </c>
      <c r="S17" s="7">
        <f t="shared" si="20"/>
        <v>0</v>
      </c>
      <c r="T17" s="7">
        <f t="shared" si="21"/>
        <v>0</v>
      </c>
      <c r="U17">
        <f t="shared" si="22"/>
        <v>-1.0624704443288229E-2</v>
      </c>
      <c r="V17" s="9">
        <f t="shared" si="23"/>
        <v>-1.0624704443288229E-2</v>
      </c>
      <c r="W17">
        <f t="shared" si="24"/>
        <v>-4.1844933558001731</v>
      </c>
      <c r="X17" s="7">
        <f t="shared" si="25"/>
        <v>1.5001449264026493E-2</v>
      </c>
      <c r="Y17" s="7">
        <f t="shared" si="26"/>
        <v>4</v>
      </c>
      <c r="Z17" s="8">
        <f t="shared" si="27"/>
        <v>1.5115109145167607E-2</v>
      </c>
      <c r="AV17" s="8"/>
    </row>
    <row r="18" spans="5:48">
      <c r="E18">
        <f t="shared" si="6"/>
        <v>9.9597958977713681E-3</v>
      </c>
      <c r="F18">
        <f t="shared" si="7"/>
        <v>9.919591795542736E-3</v>
      </c>
      <c r="G18">
        <f t="shared" si="8"/>
        <v>9.9597958977713681E-3</v>
      </c>
      <c r="H18">
        <f t="shared" si="9"/>
        <v>9.919591795542736E-3</v>
      </c>
      <c r="I18">
        <f t="shared" si="10"/>
        <v>9.5979589777136793E-3</v>
      </c>
      <c r="J18">
        <f t="shared" si="11"/>
        <v>9.5979589777136793E-3</v>
      </c>
      <c r="K18" s="7">
        <f t="shared" si="12"/>
        <v>9.5979589777136793E-3</v>
      </c>
      <c r="L18" s="7">
        <f t="shared" si="13"/>
        <v>9.5979589777136793E-3</v>
      </c>
      <c r="M18">
        <f t="shared" si="14"/>
        <v>9.7386733355138925E-3</v>
      </c>
      <c r="N18" s="9">
        <f t="shared" si="15"/>
        <v>9.7386733355138925E-3</v>
      </c>
      <c r="O18">
        <f t="shared" si="16"/>
        <v>9.7386733355138925E-3</v>
      </c>
      <c r="P18">
        <f t="shared" si="17"/>
        <v>9.7386733355138925E-3</v>
      </c>
      <c r="Q18">
        <f t="shared" si="18"/>
        <v>-1.0102051114316014E-2</v>
      </c>
      <c r="R18">
        <f t="shared" si="19"/>
        <v>-1.0102051114316014E-2</v>
      </c>
      <c r="S18" s="7">
        <f t="shared" si="20"/>
        <v>0</v>
      </c>
      <c r="T18" s="7">
        <f t="shared" si="21"/>
        <v>0</v>
      </c>
      <c r="U18">
        <f t="shared" si="22"/>
        <v>-1.0624704443288229E-2</v>
      </c>
      <c r="V18" s="9">
        <f t="shared" si="23"/>
        <v>-1.0624704443288229E-2</v>
      </c>
      <c r="W18">
        <f t="shared" si="24"/>
        <v>-4.244499152856279</v>
      </c>
      <c r="X18" s="7">
        <f t="shared" si="25"/>
        <v>1.4140105155378235E-2</v>
      </c>
      <c r="Y18" s="7">
        <f t="shared" si="26"/>
        <v>4</v>
      </c>
      <c r="Z18" s="8">
        <f t="shared" si="27"/>
        <v>1.4241028953949643E-2</v>
      </c>
      <c r="AV18" s="8"/>
    </row>
    <row r="19" spans="5:48">
      <c r="E19">
        <f t="shared" si="6"/>
        <v>9.9597958977713681E-3</v>
      </c>
      <c r="F19">
        <f t="shared" si="7"/>
        <v>9.919591795542736E-3</v>
      </c>
      <c r="G19">
        <f t="shared" si="8"/>
        <v>9.9597958977713681E-3</v>
      </c>
      <c r="H19">
        <f t="shared" si="9"/>
        <v>9.919591795542736E-3</v>
      </c>
      <c r="I19">
        <f t="shared" si="10"/>
        <v>9.5979589777136793E-3</v>
      </c>
      <c r="J19">
        <f t="shared" si="11"/>
        <v>9.5979589777136793E-3</v>
      </c>
      <c r="K19" s="7">
        <f t="shared" si="12"/>
        <v>9.5979589777136793E-3</v>
      </c>
      <c r="L19" s="7">
        <f t="shared" si="13"/>
        <v>9.5979589777136793E-3</v>
      </c>
      <c r="M19">
        <f t="shared" si="14"/>
        <v>9.7386733355138925E-3</v>
      </c>
      <c r="N19" s="9">
        <f t="shared" si="15"/>
        <v>9.7386733355138925E-3</v>
      </c>
      <c r="O19">
        <f t="shared" si="16"/>
        <v>9.7386733355138925E-3</v>
      </c>
      <c r="P19">
        <f t="shared" si="17"/>
        <v>9.7386733355138925E-3</v>
      </c>
      <c r="Q19">
        <f t="shared" si="18"/>
        <v>-1.0102051114316014E-2</v>
      </c>
      <c r="R19">
        <f t="shared" si="19"/>
        <v>-1.0102051114316014E-2</v>
      </c>
      <c r="S19" s="7">
        <f t="shared" si="20"/>
        <v>0</v>
      </c>
      <c r="T19" s="7">
        <f t="shared" si="21"/>
        <v>0</v>
      </c>
      <c r="U19">
        <f t="shared" si="22"/>
        <v>-1.0624704443288229E-2</v>
      </c>
      <c r="V19" s="9">
        <f t="shared" si="23"/>
        <v>-1.0624704443288229E-2</v>
      </c>
      <c r="W19">
        <f t="shared" si="24"/>
        <v>-4.3010595734777919</v>
      </c>
      <c r="X19" s="7">
        <f t="shared" si="25"/>
        <v>1.3372930503496762E-2</v>
      </c>
      <c r="Y19" s="7">
        <f t="shared" si="26"/>
        <v>4</v>
      </c>
      <c r="Z19" s="8">
        <f t="shared" si="27"/>
        <v>1.3463153404519179E-2</v>
      </c>
      <c r="AV19" s="8"/>
    </row>
    <row r="20" spans="5:48">
      <c r="E20">
        <f t="shared" si="6"/>
        <v>9.9597958977713681E-3</v>
      </c>
      <c r="F20">
        <f t="shared" si="7"/>
        <v>9.919591795542736E-3</v>
      </c>
      <c r="G20">
        <f t="shared" si="8"/>
        <v>9.9597958977713681E-3</v>
      </c>
      <c r="H20">
        <f t="shared" si="9"/>
        <v>9.919591795542736E-3</v>
      </c>
      <c r="I20">
        <f t="shared" si="10"/>
        <v>9.5979589777136793E-3</v>
      </c>
      <c r="J20">
        <f t="shared" si="11"/>
        <v>9.5979589777136793E-3</v>
      </c>
      <c r="K20" s="7">
        <f t="shared" si="12"/>
        <v>9.5979589777136793E-3</v>
      </c>
      <c r="L20" s="7">
        <f t="shared" si="13"/>
        <v>9.5979589777136793E-3</v>
      </c>
      <c r="M20">
        <f t="shared" si="14"/>
        <v>9.7386733355138925E-3</v>
      </c>
      <c r="N20" s="9">
        <f t="shared" si="15"/>
        <v>9.7386733355138925E-3</v>
      </c>
      <c r="O20">
        <f t="shared" si="16"/>
        <v>9.7386733355138925E-3</v>
      </c>
      <c r="P20">
        <f t="shared" si="17"/>
        <v>9.7386733355138925E-3</v>
      </c>
      <c r="Q20">
        <f t="shared" si="18"/>
        <v>-1.0102051114316014E-2</v>
      </c>
      <c r="R20">
        <f t="shared" si="19"/>
        <v>-1.0102051114316014E-2</v>
      </c>
      <c r="S20" s="7">
        <f t="shared" si="20"/>
        <v>0</v>
      </c>
      <c r="T20" s="7">
        <f t="shared" si="21"/>
        <v>0</v>
      </c>
      <c r="U20">
        <f t="shared" si="22"/>
        <v>-1.0624704443288229E-2</v>
      </c>
      <c r="V20" s="9">
        <f t="shared" si="23"/>
        <v>-1.0624704443288229E-2</v>
      </c>
      <c r="W20">
        <f t="shared" si="24"/>
        <v>-4.3545512954917793</v>
      </c>
      <c r="X20" s="7">
        <f t="shared" si="25"/>
        <v>1.2685221038444943E-2</v>
      </c>
      <c r="Y20" s="7">
        <f t="shared" si="26"/>
        <v>4</v>
      </c>
      <c r="Z20" s="8">
        <f t="shared" si="27"/>
        <v>1.2766365408040593E-2</v>
      </c>
      <c r="AV20" s="8"/>
    </row>
    <row r="21" spans="5:48">
      <c r="E21">
        <f t="shared" si="6"/>
        <v>9.9597958977713681E-3</v>
      </c>
      <c r="F21">
        <f t="shared" si="7"/>
        <v>9.919591795542736E-3</v>
      </c>
      <c r="G21">
        <f t="shared" si="8"/>
        <v>9.9597958977713681E-3</v>
      </c>
      <c r="H21">
        <f t="shared" si="9"/>
        <v>9.919591795542736E-3</v>
      </c>
      <c r="I21">
        <f t="shared" si="10"/>
        <v>9.5979589777136793E-3</v>
      </c>
      <c r="J21">
        <f t="shared" si="11"/>
        <v>9.5979589777136793E-3</v>
      </c>
      <c r="K21" s="7">
        <f t="shared" si="12"/>
        <v>9.5979589777136793E-3</v>
      </c>
      <c r="L21" s="7">
        <f t="shared" si="13"/>
        <v>9.5979589777136793E-3</v>
      </c>
      <c r="M21">
        <f t="shared" si="14"/>
        <v>9.7386733355138925E-3</v>
      </c>
      <c r="N21" s="9">
        <f t="shared" si="15"/>
        <v>9.7386733355138925E-3</v>
      </c>
      <c r="O21">
        <f t="shared" si="16"/>
        <v>9.7386733355138925E-3</v>
      </c>
      <c r="P21">
        <f t="shared" si="17"/>
        <v>9.7386733355138925E-3</v>
      </c>
      <c r="Q21">
        <f t="shared" si="18"/>
        <v>-1.0102051114316014E-2</v>
      </c>
      <c r="R21">
        <f t="shared" si="19"/>
        <v>-1.0102051114316014E-2</v>
      </c>
      <c r="S21" s="7">
        <f t="shared" si="20"/>
        <v>0</v>
      </c>
      <c r="T21" s="7">
        <f t="shared" si="21"/>
        <v>0</v>
      </c>
      <c r="U21">
        <f t="shared" si="22"/>
        <v>-1.0624704443288229E-2</v>
      </c>
      <c r="V21" s="9">
        <f t="shared" si="23"/>
        <v>-1.0624704443288229E-2</v>
      </c>
      <c r="W21">
        <f t="shared" si="24"/>
        <v>-4.4052921796455591</v>
      </c>
      <c r="X21" s="7">
        <f t="shared" si="25"/>
        <v>1.2065191038908822E-2</v>
      </c>
      <c r="Y21" s="7">
        <f t="shared" si="26"/>
        <v>4</v>
      </c>
      <c r="Z21" s="8">
        <f t="shared" si="27"/>
        <v>1.2138566244135757E-2</v>
      </c>
      <c r="AV21" s="8"/>
    </row>
    <row r="22" spans="5:48">
      <c r="E22">
        <f t="shared" si="6"/>
        <v>9.9597958977713681E-3</v>
      </c>
      <c r="F22">
        <f t="shared" si="7"/>
        <v>9.919591795542736E-3</v>
      </c>
      <c r="G22">
        <f t="shared" si="8"/>
        <v>9.9597958977713681E-3</v>
      </c>
      <c r="H22">
        <f t="shared" si="9"/>
        <v>9.919591795542736E-3</v>
      </c>
      <c r="I22">
        <f t="shared" si="10"/>
        <v>9.5979589777136793E-3</v>
      </c>
      <c r="J22">
        <f t="shared" si="11"/>
        <v>9.5979589777136793E-3</v>
      </c>
      <c r="K22" s="7">
        <f t="shared" si="12"/>
        <v>9.5979589777136793E-3</v>
      </c>
      <c r="L22" s="7">
        <f t="shared" si="13"/>
        <v>9.5979589777136793E-3</v>
      </c>
      <c r="M22">
        <f t="shared" si="14"/>
        <v>9.7386733355138925E-3</v>
      </c>
      <c r="N22" s="9">
        <f t="shared" si="15"/>
        <v>9.7386733355138925E-3</v>
      </c>
      <c r="O22">
        <f t="shared" si="16"/>
        <v>9.7386733355138925E-3</v>
      </c>
      <c r="P22">
        <f t="shared" si="17"/>
        <v>9.7386733355138925E-3</v>
      </c>
      <c r="Q22">
        <f t="shared" si="18"/>
        <v>-1.0102051114316014E-2</v>
      </c>
      <c r="R22">
        <f t="shared" si="19"/>
        <v>-1.0102051114316014E-2</v>
      </c>
      <c r="S22" s="7">
        <f t="shared" si="20"/>
        <v>0</v>
      </c>
      <c r="T22" s="7">
        <f t="shared" si="21"/>
        <v>0</v>
      </c>
      <c r="U22">
        <f t="shared" si="22"/>
        <v>-1.0624704443288229E-2</v>
      </c>
      <c r="V22" s="9">
        <f t="shared" si="23"/>
        <v>-1.0624704443288229E-2</v>
      </c>
      <c r="W22">
        <f t="shared" si="24"/>
        <v>-4.4535529438011947</v>
      </c>
      <c r="X22" s="7">
        <f t="shared" si="25"/>
        <v>1.1503281916590289E-2</v>
      </c>
      <c r="Y22" s="7">
        <f t="shared" si="26"/>
        <v>4</v>
      </c>
      <c r="Z22" s="8">
        <f t="shared" si="27"/>
        <v>1.1569956474691034E-2</v>
      </c>
      <c r="AV22" s="8"/>
    </row>
    <row r="23" spans="5:48"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5:48"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5:48"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5:48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5:48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5:48"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5:48"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5:48"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5:48"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5:48"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임윤준</dc:creator>
  <cp:lastModifiedBy>임윤준</cp:lastModifiedBy>
  <dcterms:created xsi:type="dcterms:W3CDTF">2026-04-23T13:26:51Z</dcterms:created>
  <dcterms:modified xsi:type="dcterms:W3CDTF">2026-04-23T15:44:56Z</dcterms:modified>
</cp:coreProperties>
</file>