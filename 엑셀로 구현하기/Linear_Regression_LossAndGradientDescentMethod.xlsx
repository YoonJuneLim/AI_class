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ne\Desktop\"/>
    </mc:Choice>
  </mc:AlternateContent>
  <xr:revisionPtr revIDLastSave="0" documentId="13_ncr:1_{A6BD673B-32D5-4D84-ADBE-E15362DDD6DC}" xr6:coauthVersionLast="47" xr6:coauthVersionMax="47" xr10:uidLastSave="{00000000-0000-0000-0000-000000000000}"/>
  <bookViews>
    <workbookView xWindow="3240" yWindow="1935" windowWidth="22020" windowHeight="14055" xr2:uid="{091A88EF-5268-446D-9BA6-D4DA7D2FBC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B3" i="1" l="1" a="1"/>
  <c r="AB3" i="1" s="1"/>
  <c r="AC3" i="1" a="1"/>
  <c r="AC3" i="1" s="1"/>
  <c r="Y4" i="1" s="1"/>
  <c r="AD3" i="1" a="1"/>
  <c r="AD3" i="1" s="1"/>
  <c r="Z4" i="1" s="1"/>
  <c r="AA4" i="1"/>
  <c r="AA5" i="1" s="1"/>
  <c r="AA6" i="1" s="1"/>
  <c r="AA7" i="1" s="1"/>
  <c r="AA8" i="1" s="1"/>
  <c r="AA9" i="1" s="1"/>
  <c r="AA10" i="1" s="1"/>
  <c r="AA11" i="1" s="1"/>
  <c r="AA12" i="1" s="1"/>
  <c r="AA13" i="1" s="1"/>
  <c r="AA14" i="1" s="1"/>
  <c r="AA15" i="1" s="1"/>
  <c r="AA16" i="1" s="1"/>
  <c r="AA17" i="1" s="1"/>
  <c r="AA18" i="1" s="1"/>
  <c r="AA19" i="1" s="1"/>
  <c r="AA20" i="1" s="1"/>
  <c r="AA21" i="1" s="1"/>
  <c r="AA22" i="1" s="1"/>
  <c r="AA23" i="1" s="1"/>
  <c r="AA24" i="1" s="1"/>
  <c r="AA25" i="1" s="1"/>
  <c r="AA26" i="1" s="1"/>
  <c r="AA27" i="1" s="1"/>
  <c r="AA28" i="1" s="1"/>
  <c r="AA29" i="1" s="1"/>
  <c r="AA30" i="1" s="1"/>
  <c r="AA31" i="1" s="1"/>
  <c r="AA32" i="1" s="1"/>
  <c r="AA33" i="1" s="1"/>
  <c r="AA34" i="1" s="1"/>
  <c r="AA35" i="1" s="1"/>
  <c r="AA36" i="1" s="1"/>
  <c r="AA37" i="1" s="1"/>
  <c r="AA38" i="1" s="1"/>
  <c r="AA39" i="1" s="1"/>
  <c r="AA40" i="1" s="1"/>
  <c r="AA41" i="1" s="1"/>
  <c r="AA42" i="1" s="1"/>
  <c r="AA43" i="1" s="1"/>
  <c r="AA44" i="1" s="1"/>
  <c r="AA45" i="1" s="1"/>
  <c r="AA46" i="1" s="1"/>
  <c r="AA47" i="1" s="1"/>
  <c r="AA48" i="1" s="1"/>
  <c r="AA49" i="1" s="1"/>
  <c r="AA50" i="1" s="1"/>
  <c r="AA51" i="1" s="1"/>
  <c r="AA52" i="1" s="1"/>
  <c r="AA53" i="1" s="1"/>
  <c r="AA54" i="1" s="1"/>
  <c r="AA55" i="1" s="1"/>
  <c r="AA56" i="1" s="1"/>
  <c r="AA57" i="1" s="1"/>
  <c r="AA58" i="1" s="1"/>
  <c r="AA59" i="1" s="1"/>
  <c r="AA60" i="1" s="1"/>
  <c r="AA61" i="1" s="1"/>
  <c r="AA62" i="1" s="1"/>
  <c r="AA63" i="1" s="1"/>
  <c r="AA64" i="1" s="1"/>
  <c r="AA65" i="1" s="1"/>
  <c r="AA66" i="1" s="1"/>
  <c r="AA67" i="1" s="1"/>
  <c r="AA68" i="1" s="1"/>
  <c r="AA69" i="1" s="1"/>
  <c r="AA70" i="1" s="1"/>
  <c r="AA71" i="1" s="1"/>
  <c r="AA72" i="1" s="1"/>
  <c r="AA73" i="1" s="1"/>
  <c r="AA74" i="1" s="1"/>
  <c r="AA75" i="1" s="1"/>
  <c r="AA76" i="1" s="1"/>
  <c r="AA77" i="1" s="1"/>
  <c r="AA78" i="1" s="1"/>
  <c r="AA79" i="1" s="1"/>
  <c r="AA80" i="1" s="1"/>
  <c r="AA81" i="1" s="1"/>
  <c r="AA82" i="1" s="1"/>
  <c r="AA83" i="1" s="1"/>
  <c r="AA84" i="1" s="1"/>
  <c r="AA85" i="1" s="1"/>
  <c r="AA86" i="1" s="1"/>
  <c r="AA87" i="1" s="1"/>
  <c r="AA88" i="1" s="1"/>
  <c r="AA89" i="1" s="1"/>
  <c r="AA90" i="1" s="1"/>
  <c r="AA91" i="1" s="1"/>
  <c r="AA92" i="1" s="1"/>
  <c r="AA93" i="1" s="1"/>
  <c r="AA94" i="1" s="1"/>
  <c r="AA95" i="1" s="1"/>
  <c r="AA96" i="1" s="1"/>
  <c r="AA97" i="1" s="1"/>
  <c r="AA98" i="1" s="1"/>
  <c r="AA99" i="1" s="1"/>
  <c r="AA100" i="1" s="1"/>
  <c r="AA101" i="1" s="1"/>
  <c r="AA102" i="1" s="1"/>
  <c r="AA103" i="1" s="1"/>
  <c r="AA104" i="1" s="1"/>
  <c r="AA105" i="1" s="1"/>
  <c r="AA106" i="1" s="1"/>
  <c r="AA107" i="1" s="1"/>
  <c r="AA108" i="1" s="1"/>
  <c r="AA109" i="1" s="1"/>
  <c r="AA110" i="1" s="1"/>
  <c r="AA111" i="1" s="1"/>
  <c r="AA112" i="1" s="1"/>
  <c r="AA113" i="1" s="1"/>
  <c r="AA114" i="1" s="1"/>
  <c r="AA115" i="1" s="1"/>
  <c r="AA116" i="1" s="1"/>
  <c r="AA117" i="1" s="1"/>
  <c r="AA118" i="1" s="1"/>
  <c r="AA119" i="1" s="1"/>
  <c r="AA120" i="1" s="1"/>
  <c r="AA121" i="1" s="1"/>
  <c r="AA122" i="1" s="1"/>
  <c r="AA123" i="1" s="1"/>
  <c r="AA124" i="1" s="1"/>
  <c r="AA125" i="1" s="1"/>
  <c r="AA126" i="1" s="1"/>
  <c r="AA127" i="1" s="1"/>
  <c r="AA128" i="1" s="1"/>
  <c r="AA129" i="1" s="1"/>
  <c r="AA130" i="1" s="1"/>
  <c r="AA131" i="1" s="1"/>
  <c r="AA132" i="1" s="1"/>
  <c r="AA133" i="1" s="1"/>
  <c r="AA134" i="1" s="1"/>
  <c r="AA135" i="1" s="1"/>
  <c r="AA136" i="1" s="1"/>
  <c r="AA137" i="1" s="1"/>
  <c r="AA138" i="1" s="1"/>
  <c r="AA139" i="1" s="1"/>
  <c r="AA140" i="1" s="1"/>
  <c r="AA141" i="1" s="1"/>
  <c r="AA142" i="1" s="1"/>
  <c r="AA143" i="1" s="1"/>
  <c r="AA144" i="1" s="1"/>
  <c r="AA145" i="1" s="1"/>
  <c r="AA146" i="1" s="1"/>
  <c r="AA147" i="1" s="1"/>
  <c r="AA148" i="1" s="1"/>
  <c r="AA149" i="1" s="1"/>
  <c r="AA150" i="1" s="1"/>
  <c r="AA151" i="1" s="1"/>
  <c r="AA152" i="1" s="1"/>
  <c r="AA153" i="1" s="1"/>
  <c r="AA154" i="1" s="1"/>
  <c r="AA155" i="1" s="1"/>
  <c r="AA156" i="1" s="1"/>
  <c r="AA157" i="1" s="1"/>
  <c r="AA158" i="1" s="1"/>
  <c r="AA159" i="1" s="1"/>
  <c r="AA160" i="1" s="1"/>
  <c r="AA161" i="1" s="1"/>
  <c r="AA162" i="1" s="1"/>
  <c r="AA163" i="1" s="1"/>
  <c r="AA164" i="1" s="1"/>
  <c r="AA165" i="1" s="1"/>
  <c r="AA166" i="1" s="1"/>
  <c r="AA167" i="1" s="1"/>
  <c r="AA168" i="1" s="1"/>
  <c r="AA169" i="1" s="1"/>
  <c r="AA170" i="1" s="1"/>
  <c r="AA171" i="1" s="1"/>
  <c r="AA172" i="1" s="1"/>
  <c r="AA173" i="1" s="1"/>
  <c r="AA174" i="1" s="1"/>
  <c r="AA175" i="1" s="1"/>
  <c r="AA176" i="1" s="1"/>
  <c r="AA177" i="1" s="1"/>
  <c r="AA178" i="1" s="1"/>
  <c r="AA179" i="1" s="1"/>
  <c r="AA180" i="1" s="1"/>
  <c r="AA181" i="1" s="1"/>
  <c r="AA182" i="1" s="1"/>
  <c r="AA183" i="1" s="1"/>
  <c r="AA184" i="1" s="1"/>
  <c r="AA185" i="1" s="1"/>
  <c r="AA186" i="1" s="1"/>
  <c r="AA187" i="1" s="1"/>
  <c r="AA188" i="1" s="1"/>
  <c r="AA189" i="1" s="1"/>
  <c r="AA190" i="1" s="1"/>
  <c r="AA191" i="1" s="1"/>
  <c r="AA192" i="1" s="1"/>
  <c r="AA193" i="1" s="1"/>
  <c r="AA194" i="1" s="1"/>
  <c r="AA195" i="1" s="1"/>
  <c r="AA196" i="1" s="1"/>
  <c r="AA197" i="1" s="1"/>
  <c r="AA198" i="1" s="1"/>
  <c r="AA199" i="1" s="1"/>
  <c r="AA200" i="1" s="1"/>
  <c r="AA201" i="1" s="1"/>
  <c r="AA202" i="1" s="1"/>
  <c r="AA203" i="1" s="1"/>
  <c r="AA204" i="1" s="1"/>
  <c r="AA205" i="1" s="1"/>
  <c r="AA206" i="1" s="1"/>
  <c r="AA207" i="1" s="1"/>
  <c r="AA208" i="1" s="1"/>
  <c r="AA209" i="1" s="1"/>
  <c r="AA210" i="1" s="1"/>
  <c r="AA211" i="1" s="1"/>
  <c r="AA212" i="1" s="1"/>
  <c r="AA213" i="1" s="1"/>
  <c r="AA214" i="1" s="1"/>
  <c r="AA215" i="1" s="1"/>
  <c r="AA216" i="1" s="1"/>
  <c r="AA217" i="1" s="1"/>
  <c r="AA218" i="1" s="1"/>
  <c r="AA219" i="1" s="1"/>
  <c r="AA220" i="1" s="1"/>
  <c r="AA221" i="1" s="1"/>
  <c r="AA222" i="1" s="1"/>
  <c r="AA223" i="1" s="1"/>
  <c r="AA224" i="1" s="1"/>
  <c r="AA225" i="1" s="1"/>
  <c r="AA226" i="1" s="1"/>
  <c r="AA227" i="1" s="1"/>
  <c r="AA228" i="1" s="1"/>
  <c r="AA229" i="1" s="1"/>
  <c r="AA230" i="1" s="1"/>
  <c r="AA231" i="1" s="1"/>
  <c r="AA232" i="1" s="1"/>
  <c r="AA233" i="1" s="1"/>
  <c r="AA234" i="1" s="1"/>
  <c r="AA235" i="1" s="1"/>
  <c r="AA236" i="1" s="1"/>
  <c r="AA237" i="1" s="1"/>
  <c r="AA238" i="1" s="1"/>
  <c r="AA239" i="1" s="1"/>
  <c r="AA240" i="1" s="1"/>
  <c r="AA241" i="1" s="1"/>
  <c r="AA242" i="1" s="1"/>
  <c r="AA243" i="1" s="1"/>
  <c r="AA244" i="1" s="1"/>
  <c r="AA245" i="1" s="1"/>
  <c r="AA246" i="1" s="1"/>
  <c r="AA247" i="1" s="1"/>
  <c r="AA248" i="1" s="1"/>
  <c r="AA249" i="1" s="1"/>
  <c r="AA250" i="1" s="1"/>
  <c r="AA251" i="1" s="1"/>
  <c r="AA252" i="1" s="1"/>
  <c r="AA253" i="1" s="1"/>
  <c r="AA254" i="1" s="1"/>
  <c r="AA255" i="1" s="1"/>
  <c r="AA256" i="1" s="1"/>
  <c r="AA257" i="1" s="1"/>
  <c r="AA258" i="1" s="1"/>
  <c r="AA259" i="1" s="1"/>
  <c r="AA260" i="1" s="1"/>
  <c r="AA261" i="1" s="1"/>
  <c r="AA262" i="1" s="1"/>
  <c r="AA263" i="1" s="1"/>
  <c r="AA264" i="1" s="1"/>
  <c r="AA265" i="1" s="1"/>
  <c r="AA266" i="1" s="1"/>
  <c r="AA267" i="1" s="1"/>
  <c r="AA268" i="1" s="1"/>
  <c r="AA269" i="1" s="1"/>
  <c r="AA270" i="1" s="1"/>
  <c r="AA271" i="1" s="1"/>
  <c r="AA272" i="1" s="1"/>
  <c r="AA273" i="1" s="1"/>
  <c r="AA274" i="1" s="1"/>
  <c r="AA275" i="1" s="1"/>
  <c r="AA276" i="1" s="1"/>
  <c r="AA277" i="1" s="1"/>
  <c r="AA278" i="1" s="1"/>
  <c r="AA279" i="1" s="1"/>
  <c r="AA280" i="1" s="1"/>
  <c r="AA281" i="1" s="1"/>
  <c r="AA282" i="1" s="1"/>
  <c r="AA283" i="1" s="1"/>
  <c r="AA284" i="1" s="1"/>
  <c r="AA285" i="1" s="1"/>
  <c r="AA286" i="1" s="1"/>
  <c r="AA287" i="1" s="1"/>
  <c r="AA288" i="1" s="1"/>
  <c r="AA289" i="1" s="1"/>
  <c r="AA290" i="1" s="1"/>
  <c r="AA291" i="1" s="1"/>
  <c r="AA292" i="1" s="1"/>
  <c r="AA293" i="1" s="1"/>
  <c r="AA294" i="1" s="1"/>
  <c r="AA295" i="1" s="1"/>
  <c r="AA296" i="1" s="1"/>
  <c r="AA297" i="1" s="1"/>
  <c r="AA298" i="1" s="1"/>
  <c r="AA299" i="1" s="1"/>
  <c r="AA300" i="1" s="1"/>
  <c r="AA301" i="1" s="1"/>
  <c r="AA302" i="1" s="1"/>
  <c r="AA303" i="1" s="1"/>
  <c r="AA304" i="1" s="1"/>
  <c r="AA305" i="1" s="1"/>
  <c r="AA306" i="1" s="1"/>
  <c r="I4" i="1" a="1"/>
  <c r="I4" i="1" s="1"/>
  <c r="H2" i="1" s="1" a="1"/>
  <c r="H2" i="1" s="1"/>
  <c r="L4" i="1" a="1"/>
  <c r="L4" i="1" s="1"/>
  <c r="AB4" i="1" l="1" a="1"/>
  <c r="AB4" i="1" s="1"/>
  <c r="AD4" i="1" a="1"/>
  <c r="AD4" i="1" s="1"/>
  <c r="Z5" i="1" s="1"/>
  <c r="AC4" i="1" a="1"/>
  <c r="AC4" i="1" s="1"/>
  <c r="Y5" i="1" s="1"/>
  <c r="W3" i="1" a="1"/>
  <c r="W3" i="1" s="1"/>
  <c r="U3" i="1" a="1"/>
  <c r="AC5" i="1" l="1" a="1"/>
  <c r="AC5" i="1" s="1"/>
  <c r="Y6" i="1" s="1"/>
  <c r="AD5" i="1" a="1"/>
  <c r="AD5" i="1" s="1"/>
  <c r="Z6" i="1" s="1"/>
  <c r="AB5" i="1" a="1"/>
  <c r="AB5" i="1" s="1"/>
  <c r="U3" i="1"/>
  <c r="T3" i="1" s="1" a="1"/>
  <c r="T3" i="1" s="1"/>
  <c r="Z7" i="1" l="1"/>
  <c r="AD6" i="1" a="1"/>
  <c r="AD6" i="1" s="1"/>
  <c r="AB6" i="1" a="1"/>
  <c r="AB6" i="1" s="1"/>
  <c r="AC6" i="1" a="1"/>
  <c r="AC6" i="1" s="1"/>
  <c r="Y7" i="1" s="1"/>
  <c r="D4" i="1"/>
  <c r="D12" i="1"/>
  <c r="D7" i="1"/>
  <c r="D8" i="1"/>
  <c r="D9" i="1"/>
  <c r="D10" i="1"/>
  <c r="D11" i="1"/>
  <c r="D5" i="1"/>
  <c r="D3" i="1"/>
  <c r="D6" i="1"/>
  <c r="AB7" i="1" l="1" a="1"/>
  <c r="AB7" i="1" s="1"/>
  <c r="AC7" i="1" a="1"/>
  <c r="AC7" i="1" s="1"/>
  <c r="AD7" i="1" a="1"/>
  <c r="AD7" i="1" s="1"/>
  <c r="Z8" i="1" s="1"/>
  <c r="Y8" i="1"/>
  <c r="AD8" i="1" l="1" a="1"/>
  <c r="AD8" i="1" s="1"/>
  <c r="Z9" i="1" s="1"/>
  <c r="AB8" i="1" a="1"/>
  <c r="AB8" i="1" s="1"/>
  <c r="AC8" i="1" a="1"/>
  <c r="AC8" i="1" s="1"/>
  <c r="Y9" i="1"/>
  <c r="AD9" i="1" l="1" a="1"/>
  <c r="AD9" i="1" s="1"/>
  <c r="AB9" i="1" a="1"/>
  <c r="AB9" i="1" s="1"/>
  <c r="AC9" i="1" a="1"/>
  <c r="AC9" i="1" s="1"/>
  <c r="Y10" i="1" s="1"/>
  <c r="Z10" i="1"/>
  <c r="AB10" i="1" l="1" a="1"/>
  <c r="AB10" i="1" s="1"/>
  <c r="AD10" i="1" a="1"/>
  <c r="AD10" i="1" s="1"/>
  <c r="Z11" i="1" s="1"/>
  <c r="AC10" i="1" a="1"/>
  <c r="AC10" i="1" s="1"/>
  <c r="Y11" i="1" s="1"/>
  <c r="AC11" i="1" l="1" a="1"/>
  <c r="AC11" i="1" s="1"/>
  <c r="Y12" i="1" s="1"/>
  <c r="AD11" i="1" a="1"/>
  <c r="AD11" i="1" s="1"/>
  <c r="Z12" i="1" s="1"/>
  <c r="AB11" i="1" a="1"/>
  <c r="AB11" i="1" s="1"/>
  <c r="AC12" i="1" l="1" a="1"/>
  <c r="AC12" i="1" s="1"/>
  <c r="Y13" i="1" s="1"/>
  <c r="AB12" i="1" a="1"/>
  <c r="AB12" i="1" s="1"/>
  <c r="AD12" i="1" a="1"/>
  <c r="AD12" i="1" s="1"/>
  <c r="Z13" i="1" s="1"/>
  <c r="Z14" i="1" l="1"/>
  <c r="AC13" i="1" a="1"/>
  <c r="AC13" i="1" s="1"/>
  <c r="Y14" i="1" s="1"/>
  <c r="AB13" i="1" a="1"/>
  <c r="AB13" i="1" s="1"/>
  <c r="AD13" i="1" a="1"/>
  <c r="AD13" i="1" s="1"/>
  <c r="AC14" i="1" l="1" a="1"/>
  <c r="AC14" i="1" s="1"/>
  <c r="Y15" i="1" s="1"/>
  <c r="AD14" i="1" a="1"/>
  <c r="AD14" i="1" s="1"/>
  <c r="AB14" i="1" a="1"/>
  <c r="AB14" i="1" s="1"/>
  <c r="Z15" i="1"/>
  <c r="AC15" i="1" l="1" a="1"/>
  <c r="AC15" i="1" s="1"/>
  <c r="Y16" i="1" s="1"/>
  <c r="AD15" i="1" a="1"/>
  <c r="AD15" i="1" s="1"/>
  <c r="Z16" i="1" s="1"/>
  <c r="AB15" i="1" a="1"/>
  <c r="AB15" i="1" s="1"/>
  <c r="AD16" i="1" l="1" a="1"/>
  <c r="AD16" i="1" s="1"/>
  <c r="Z17" i="1" s="1"/>
  <c r="AB16" i="1" a="1"/>
  <c r="AB16" i="1" s="1"/>
  <c r="AC16" i="1" a="1"/>
  <c r="AC16" i="1" s="1"/>
  <c r="Y17" i="1" s="1"/>
  <c r="AC17" i="1" l="1" a="1"/>
  <c r="AC17" i="1" s="1"/>
  <c r="Y18" i="1" s="1"/>
  <c r="AB17" i="1" a="1"/>
  <c r="AB17" i="1" s="1"/>
  <c r="AD17" i="1" a="1"/>
  <c r="AD17" i="1" s="1"/>
  <c r="Z18" i="1"/>
  <c r="AD18" i="1" l="1" a="1"/>
  <c r="AD18" i="1" s="1"/>
  <c r="Z19" i="1" s="1"/>
  <c r="AB18" i="1" a="1"/>
  <c r="AB18" i="1" s="1"/>
  <c r="AC18" i="1" a="1"/>
  <c r="AC18" i="1" s="1"/>
  <c r="Y19" i="1" s="1"/>
  <c r="AB19" i="1" l="1" a="1"/>
  <c r="AB19" i="1" s="1"/>
  <c r="AD19" i="1" a="1"/>
  <c r="AD19" i="1" s="1"/>
  <c r="Z20" i="1" s="1"/>
  <c r="AC19" i="1" a="1"/>
  <c r="AC19" i="1" s="1"/>
  <c r="Y20" i="1" s="1"/>
  <c r="AD20" i="1" l="1" a="1"/>
  <c r="AD20" i="1" s="1"/>
  <c r="AB20" i="1" a="1"/>
  <c r="AB20" i="1" s="1"/>
  <c r="AC20" i="1" a="1"/>
  <c r="AC20" i="1" s="1"/>
  <c r="Y21" i="1" s="1"/>
  <c r="Z21" i="1"/>
  <c r="AC21" i="1" l="1" a="1"/>
  <c r="AC21" i="1" s="1"/>
  <c r="Y22" i="1" s="1"/>
  <c r="AB21" i="1" a="1"/>
  <c r="AB21" i="1" s="1"/>
  <c r="AD21" i="1" a="1"/>
  <c r="AD21" i="1" s="1"/>
  <c r="Z22" i="1" s="1"/>
  <c r="AB22" i="1" l="1" a="1"/>
  <c r="AB22" i="1" s="1"/>
  <c r="AC22" i="1" a="1"/>
  <c r="AC22" i="1" s="1"/>
  <c r="Y23" i="1" s="1"/>
  <c r="AD22" i="1" a="1"/>
  <c r="AD22" i="1" s="1"/>
  <c r="Z23" i="1" s="1"/>
  <c r="AD23" i="1" l="1" a="1"/>
  <c r="AD23" i="1" s="1"/>
  <c r="Z24" i="1" s="1"/>
  <c r="AB23" i="1" a="1"/>
  <c r="AB23" i="1" s="1"/>
  <c r="AC23" i="1" a="1"/>
  <c r="AC23" i="1" s="1"/>
  <c r="Y24" i="1" s="1"/>
  <c r="AC24" i="1" l="1" a="1"/>
  <c r="AC24" i="1" s="1"/>
  <c r="Y25" i="1" s="1"/>
  <c r="AB24" i="1" a="1"/>
  <c r="AB24" i="1" s="1"/>
  <c r="AD24" i="1" a="1"/>
  <c r="AD24" i="1" s="1"/>
  <c r="Z25" i="1" s="1"/>
  <c r="AC25" i="1" l="1" a="1"/>
  <c r="AC25" i="1" s="1"/>
  <c r="Y26" i="1" s="1"/>
  <c r="AD25" i="1" a="1"/>
  <c r="AD25" i="1" s="1"/>
  <c r="Z26" i="1" s="1"/>
  <c r="AB25" i="1" a="1"/>
  <c r="AB25" i="1" s="1"/>
  <c r="AB26" i="1" l="1" a="1"/>
  <c r="AB26" i="1" s="1"/>
  <c r="AD26" i="1" a="1"/>
  <c r="AD26" i="1" s="1"/>
  <c r="Z27" i="1" s="1"/>
  <c r="AC26" i="1" a="1"/>
  <c r="AC26" i="1" s="1"/>
  <c r="Y27" i="1" s="1"/>
  <c r="AB27" i="1" l="1" a="1"/>
  <c r="AB27" i="1" s="1"/>
  <c r="AD27" i="1" a="1"/>
  <c r="AD27" i="1" s="1"/>
  <c r="Z28" i="1" s="1"/>
  <c r="AC27" i="1" a="1"/>
  <c r="AC27" i="1" s="1"/>
  <c r="Y28" i="1" s="1"/>
  <c r="AC28" i="1" l="1" a="1"/>
  <c r="AC28" i="1" s="1"/>
  <c r="Y29" i="1" s="1"/>
  <c r="AD28" i="1" a="1"/>
  <c r="AD28" i="1" s="1"/>
  <c r="Z29" i="1" s="1"/>
  <c r="AB28" i="1" a="1"/>
  <c r="AB28" i="1" s="1"/>
  <c r="AC29" i="1" l="1" a="1"/>
  <c r="AC29" i="1" s="1"/>
  <c r="Y30" i="1" s="1"/>
  <c r="AB29" i="1" a="1"/>
  <c r="AB29" i="1" s="1"/>
  <c r="AD29" i="1" a="1"/>
  <c r="AD29" i="1" s="1"/>
  <c r="Z30" i="1" s="1"/>
  <c r="AD30" i="1" l="1" a="1"/>
  <c r="AD30" i="1" s="1"/>
  <c r="Z31" i="1" s="1"/>
  <c r="AB30" i="1" a="1"/>
  <c r="AB30" i="1" s="1"/>
  <c r="AC30" i="1" a="1"/>
  <c r="AC30" i="1" s="1"/>
  <c r="Y31" i="1" s="1"/>
  <c r="AB31" i="1" l="1" a="1"/>
  <c r="AB31" i="1" s="1"/>
  <c r="AC31" i="1" a="1"/>
  <c r="AC31" i="1" s="1"/>
  <c r="Y32" i="1" s="1"/>
  <c r="AD31" i="1" a="1"/>
  <c r="AD31" i="1" s="1"/>
  <c r="Z32" i="1" s="1"/>
  <c r="AD32" i="1" l="1" a="1"/>
  <c r="AD32" i="1" s="1"/>
  <c r="Z33" i="1" s="1"/>
  <c r="AB32" i="1" a="1"/>
  <c r="AB32" i="1" s="1"/>
  <c r="AC32" i="1" a="1"/>
  <c r="AC32" i="1" s="1"/>
  <c r="Y33" i="1" s="1"/>
  <c r="AB33" i="1" l="1" a="1"/>
  <c r="AB33" i="1" s="1"/>
  <c r="AC33" i="1" a="1"/>
  <c r="AC33" i="1" s="1"/>
  <c r="Y34" i="1" s="1"/>
  <c r="AD33" i="1" a="1"/>
  <c r="AD33" i="1" s="1"/>
  <c r="Z34" i="1" s="1"/>
  <c r="AD34" i="1" l="1" a="1"/>
  <c r="AD34" i="1" s="1"/>
  <c r="Z35" i="1" s="1"/>
  <c r="AC34" i="1" a="1"/>
  <c r="AC34" i="1" s="1"/>
  <c r="Y35" i="1" s="1"/>
  <c r="AB34" i="1" a="1"/>
  <c r="AB34" i="1" s="1"/>
  <c r="AD35" i="1" l="1" a="1"/>
  <c r="AD35" i="1" s="1"/>
  <c r="Z36" i="1" s="1"/>
  <c r="AB35" i="1" a="1"/>
  <c r="AB35" i="1" s="1"/>
  <c r="AC35" i="1" a="1"/>
  <c r="AC35" i="1" s="1"/>
  <c r="Y36" i="1" s="1"/>
  <c r="AC36" i="1" l="1" a="1"/>
  <c r="AC36" i="1" s="1"/>
  <c r="Y37" i="1" s="1"/>
  <c r="AD36" i="1" a="1"/>
  <c r="AD36" i="1" s="1"/>
  <c r="Z37" i="1" s="1"/>
  <c r="AB36" i="1" a="1"/>
  <c r="AB36" i="1" s="1"/>
  <c r="AC37" i="1" l="1" a="1"/>
  <c r="AC37" i="1" s="1"/>
  <c r="Y38" i="1" s="1"/>
  <c r="AB37" i="1" a="1"/>
  <c r="AB37" i="1" s="1"/>
  <c r="AD37" i="1" a="1"/>
  <c r="AD37" i="1" s="1"/>
  <c r="Z38" i="1" s="1"/>
  <c r="AB38" i="1" l="1" a="1"/>
  <c r="AB38" i="1" s="1"/>
  <c r="AC38" i="1" a="1"/>
  <c r="AC38" i="1" s="1"/>
  <c r="Y39" i="1"/>
  <c r="AD38" i="1" a="1"/>
  <c r="AD38" i="1" s="1"/>
  <c r="Z39" i="1" s="1"/>
  <c r="AD39" i="1" l="1" a="1"/>
  <c r="AD39" i="1" s="1"/>
  <c r="Z40" i="1" s="1"/>
  <c r="AC39" i="1" a="1"/>
  <c r="AC39" i="1" s="1"/>
  <c r="Y40" i="1" s="1"/>
  <c r="AB39" i="1" a="1"/>
  <c r="AB39" i="1" s="1"/>
  <c r="AC40" i="1" l="1" a="1"/>
  <c r="AC40" i="1" s="1"/>
  <c r="Y41" i="1" s="1"/>
  <c r="AB40" i="1" a="1"/>
  <c r="AB40" i="1" s="1"/>
  <c r="AD40" i="1" a="1"/>
  <c r="AD40" i="1" s="1"/>
  <c r="Z41" i="1" s="1"/>
  <c r="AB41" i="1" l="1" a="1"/>
  <c r="AB41" i="1" s="1"/>
  <c r="AD41" i="1" a="1"/>
  <c r="AD41" i="1" s="1"/>
  <c r="Z42" i="1" s="1"/>
  <c r="AC41" i="1" a="1"/>
  <c r="AC41" i="1" s="1"/>
  <c r="Y42" i="1" s="1"/>
  <c r="AD42" i="1" l="1" a="1"/>
  <c r="AD42" i="1" s="1"/>
  <c r="Z43" i="1" s="1"/>
  <c r="AB42" i="1" a="1"/>
  <c r="AB42" i="1" s="1"/>
  <c r="AC42" i="1" a="1"/>
  <c r="AC42" i="1" s="1"/>
  <c r="Y43" i="1" s="1"/>
  <c r="AC43" i="1" l="1" a="1"/>
  <c r="AC43" i="1" s="1"/>
  <c r="Y44" i="1" s="1"/>
  <c r="AB43" i="1" a="1"/>
  <c r="AB43" i="1" s="1"/>
  <c r="AD43" i="1" a="1"/>
  <c r="AD43" i="1" s="1"/>
  <c r="Z44" i="1" s="1"/>
  <c r="AB44" i="1" l="1" a="1"/>
  <c r="AB44" i="1" s="1"/>
  <c r="AC44" i="1" a="1"/>
  <c r="AC44" i="1" s="1"/>
  <c r="Y45" i="1" s="1"/>
  <c r="AD44" i="1" a="1"/>
  <c r="AD44" i="1" s="1"/>
  <c r="Z45" i="1" s="1"/>
  <c r="AB45" i="1" l="1" a="1"/>
  <c r="AB45" i="1" s="1"/>
  <c r="AC45" i="1" a="1"/>
  <c r="AC45" i="1" s="1"/>
  <c r="Y46" i="1" s="1"/>
  <c r="AD45" i="1" a="1"/>
  <c r="AD45" i="1" s="1"/>
  <c r="Z46" i="1" s="1"/>
  <c r="AC46" i="1" l="1" a="1"/>
  <c r="AC46" i="1" s="1"/>
  <c r="Y47" i="1" s="1"/>
  <c r="AB46" i="1" a="1"/>
  <c r="AB46" i="1" s="1"/>
  <c r="AD46" i="1" a="1"/>
  <c r="AD46" i="1" s="1"/>
  <c r="Z47" i="1" s="1"/>
  <c r="AD47" i="1" l="1" a="1"/>
  <c r="AD47" i="1" s="1"/>
  <c r="Z48" i="1" s="1"/>
  <c r="AC47" i="1" a="1"/>
  <c r="AC47" i="1" s="1"/>
  <c r="Y48" i="1" s="1"/>
  <c r="AB47" i="1" a="1"/>
  <c r="AB47" i="1" s="1"/>
  <c r="AD48" i="1" l="1" a="1"/>
  <c r="AD48" i="1" s="1"/>
  <c r="Z49" i="1" s="1"/>
  <c r="AB48" i="1" a="1"/>
  <c r="AB48" i="1" s="1"/>
  <c r="AC48" i="1" a="1"/>
  <c r="AC48" i="1" s="1"/>
  <c r="Y49" i="1" s="1"/>
  <c r="AD49" i="1" l="1" a="1"/>
  <c r="AD49" i="1" s="1"/>
  <c r="Z50" i="1" s="1"/>
  <c r="AC49" i="1" a="1"/>
  <c r="AC49" i="1" s="1"/>
  <c r="Y50" i="1" s="1"/>
  <c r="AB49" i="1" a="1"/>
  <c r="AB49" i="1" s="1"/>
  <c r="AD50" i="1" l="1" a="1"/>
  <c r="AD50" i="1" s="1"/>
  <c r="Z51" i="1" s="1"/>
  <c r="AB50" i="1" a="1"/>
  <c r="AB50" i="1" s="1"/>
  <c r="AC50" i="1" a="1"/>
  <c r="AC50" i="1" s="1"/>
  <c r="Y51" i="1" s="1"/>
  <c r="AB51" i="1" l="1" a="1"/>
  <c r="AB51" i="1" s="1"/>
  <c r="AC51" i="1" a="1"/>
  <c r="AC51" i="1" s="1"/>
  <c r="Y52" i="1" s="1"/>
  <c r="AD51" i="1" a="1"/>
  <c r="AD51" i="1" s="1"/>
  <c r="Z52" i="1" s="1"/>
  <c r="AC52" i="1" l="1" a="1"/>
  <c r="AC52" i="1" s="1"/>
  <c r="Y53" i="1" s="1"/>
  <c r="AB52" i="1" a="1"/>
  <c r="AB52" i="1" s="1"/>
  <c r="AD52" i="1" a="1"/>
  <c r="AD52" i="1" s="1"/>
  <c r="Z53" i="1" s="1"/>
  <c r="AC53" i="1" l="1" a="1"/>
  <c r="AC53" i="1" s="1"/>
  <c r="Y54" i="1" s="1"/>
  <c r="AD53" i="1" a="1"/>
  <c r="AD53" i="1" s="1"/>
  <c r="Z54" i="1" s="1"/>
  <c r="AB53" i="1" a="1"/>
  <c r="AB53" i="1" s="1"/>
  <c r="AD54" i="1" l="1" a="1"/>
  <c r="AD54" i="1" s="1"/>
  <c r="Z55" i="1" s="1"/>
  <c r="AB54" i="1" a="1"/>
  <c r="AB54" i="1" s="1"/>
  <c r="AC54" i="1" a="1"/>
  <c r="AC54" i="1" s="1"/>
  <c r="Y55" i="1" s="1"/>
  <c r="AC55" i="1" l="1" a="1"/>
  <c r="AC55" i="1" s="1"/>
  <c r="Y56" i="1" s="1"/>
  <c r="AB55" i="1" a="1"/>
  <c r="AB55" i="1" s="1"/>
  <c r="AD55" i="1" a="1"/>
  <c r="AD55" i="1" s="1"/>
  <c r="Z56" i="1" s="1"/>
  <c r="AC56" i="1" l="1" a="1"/>
  <c r="AC56" i="1" s="1"/>
  <c r="AD56" i="1" a="1"/>
  <c r="AD56" i="1" s="1"/>
  <c r="Z57" i="1" s="1"/>
  <c r="AB56" i="1" a="1"/>
  <c r="AB56" i="1" s="1"/>
  <c r="Y57" i="1"/>
  <c r="AC57" i="1" l="1" a="1"/>
  <c r="AC57" i="1" s="1"/>
  <c r="Y58" i="1" s="1"/>
  <c r="AD57" i="1" a="1"/>
  <c r="AD57" i="1" s="1"/>
  <c r="Z58" i="1" s="1"/>
  <c r="AB57" i="1" a="1"/>
  <c r="AB57" i="1" s="1"/>
  <c r="AB58" i="1" l="1" a="1"/>
  <c r="AB58" i="1" s="1"/>
  <c r="AD58" i="1" a="1"/>
  <c r="AD58" i="1" s="1"/>
  <c r="Z59" i="1" s="1"/>
  <c r="AC58" i="1" a="1"/>
  <c r="AC58" i="1" s="1"/>
  <c r="Y59" i="1" s="1"/>
  <c r="AB59" i="1" l="1" a="1"/>
  <c r="AB59" i="1" s="1"/>
  <c r="AD59" i="1" a="1"/>
  <c r="AD59" i="1" s="1"/>
  <c r="Z60" i="1" s="1"/>
  <c r="AC59" i="1" a="1"/>
  <c r="AC59" i="1" s="1"/>
  <c r="Y60" i="1" s="1"/>
  <c r="AD60" i="1" l="1" a="1"/>
  <c r="AD60" i="1" s="1"/>
  <c r="Z61" i="1" s="1"/>
  <c r="AC60" i="1" a="1"/>
  <c r="AC60" i="1" s="1"/>
  <c r="Y61" i="1" s="1"/>
  <c r="AB60" i="1" a="1"/>
  <c r="AB60" i="1" s="1"/>
  <c r="AC61" i="1" l="1" a="1"/>
  <c r="AC61" i="1" s="1"/>
  <c r="Y62" i="1" s="1"/>
  <c r="AD61" i="1" a="1"/>
  <c r="AD61" i="1" s="1"/>
  <c r="Z62" i="1" s="1"/>
  <c r="AB61" i="1" a="1"/>
  <c r="AB61" i="1" s="1"/>
  <c r="AD62" i="1" l="1" a="1"/>
  <c r="AD62" i="1" s="1"/>
  <c r="Z63" i="1" s="1"/>
  <c r="AB62" i="1" a="1"/>
  <c r="AB62" i="1" s="1"/>
  <c r="AC62" i="1" a="1"/>
  <c r="AC62" i="1" s="1"/>
  <c r="Y63" i="1" s="1"/>
  <c r="AB63" i="1" l="1" a="1"/>
  <c r="AB63" i="1" s="1"/>
  <c r="AC63" i="1" a="1"/>
  <c r="AC63" i="1" s="1"/>
  <c r="Y64" i="1" s="1"/>
  <c r="AD63" i="1" a="1"/>
  <c r="AD63" i="1" s="1"/>
  <c r="Z64" i="1" s="1"/>
  <c r="AD64" i="1" l="1" a="1"/>
  <c r="AD64" i="1" s="1"/>
  <c r="Z65" i="1" s="1"/>
  <c r="AC64" i="1" a="1"/>
  <c r="AC64" i="1" s="1"/>
  <c r="Y65" i="1" s="1"/>
  <c r="AB64" i="1" a="1"/>
  <c r="AB64" i="1" s="1"/>
  <c r="AC65" i="1" l="1" a="1"/>
  <c r="AC65" i="1" s="1"/>
  <c r="Y66" i="1"/>
  <c r="AD65" i="1" a="1"/>
  <c r="AD65" i="1" s="1"/>
  <c r="AB65" i="1" a="1"/>
  <c r="AB65" i="1" s="1"/>
  <c r="Z66" i="1"/>
  <c r="AB66" i="1" l="1" a="1"/>
  <c r="AB66" i="1" s="1"/>
  <c r="AD66" i="1" a="1"/>
  <c r="AD66" i="1" s="1"/>
  <c r="Z67" i="1" s="1"/>
  <c r="AC66" i="1" a="1"/>
  <c r="AC66" i="1" s="1"/>
  <c r="Y67" i="1" s="1"/>
  <c r="AC67" i="1" l="1" a="1"/>
  <c r="AC67" i="1" s="1"/>
  <c r="Y68" i="1" s="1"/>
  <c r="AD67" i="1" a="1"/>
  <c r="AD67" i="1" s="1"/>
  <c r="Z68" i="1" s="1"/>
  <c r="AB67" i="1" a="1"/>
  <c r="AB67" i="1" s="1"/>
  <c r="AD68" i="1" l="1" a="1"/>
  <c r="AD68" i="1" s="1"/>
  <c r="Z69" i="1" s="1"/>
  <c r="AC68" i="1" a="1"/>
  <c r="AC68" i="1" s="1"/>
  <c r="Y69" i="1" s="1"/>
  <c r="AB68" i="1" a="1"/>
  <c r="AB68" i="1" s="1"/>
  <c r="AD69" i="1" l="1" a="1"/>
  <c r="AD69" i="1" s="1"/>
  <c r="Z70" i="1" s="1"/>
  <c r="AB69" i="1" a="1"/>
  <c r="AB69" i="1" s="1"/>
  <c r="AC69" i="1" a="1"/>
  <c r="AC69" i="1" s="1"/>
  <c r="Y70" i="1" s="1"/>
  <c r="AD70" i="1" l="1" a="1"/>
  <c r="AD70" i="1" s="1"/>
  <c r="Z71" i="1" s="1"/>
  <c r="AB70" i="1" a="1"/>
  <c r="AB70" i="1" s="1"/>
  <c r="AC70" i="1" a="1"/>
  <c r="AC70" i="1" s="1"/>
  <c r="Y71" i="1" s="1"/>
  <c r="AD71" i="1" l="1" a="1"/>
  <c r="AD71" i="1" s="1"/>
  <c r="Z72" i="1" s="1"/>
  <c r="AB71" i="1" a="1"/>
  <c r="AB71" i="1" s="1"/>
  <c r="AC71" i="1" a="1"/>
  <c r="AC71" i="1" s="1"/>
  <c r="Y72" i="1" s="1"/>
  <c r="AC72" i="1" l="1" a="1"/>
  <c r="AC72" i="1" s="1"/>
  <c r="Y73" i="1" s="1"/>
  <c r="AB72" i="1" a="1"/>
  <c r="AB72" i="1" s="1"/>
  <c r="AD72" i="1" a="1"/>
  <c r="AD72" i="1" s="1"/>
  <c r="Z73" i="1" s="1"/>
  <c r="Z74" i="1" l="1"/>
  <c r="AB73" i="1" a="1"/>
  <c r="AB73" i="1" s="1"/>
  <c r="AD73" i="1" a="1"/>
  <c r="AD73" i="1" s="1"/>
  <c r="AC73" i="1" a="1"/>
  <c r="AC73" i="1" s="1"/>
  <c r="Y74" i="1" s="1"/>
  <c r="AC74" i="1" l="1" a="1"/>
  <c r="AC74" i="1" s="1"/>
  <c r="AB74" i="1" a="1"/>
  <c r="AB74" i="1" s="1"/>
  <c r="Y75" i="1"/>
  <c r="AD74" i="1" a="1"/>
  <c r="AD74" i="1" s="1"/>
  <c r="Z75" i="1" s="1"/>
  <c r="AC75" i="1" l="1" a="1"/>
  <c r="AC75" i="1" s="1"/>
  <c r="AB75" i="1" a="1"/>
  <c r="AB75" i="1" s="1"/>
  <c r="Y76" i="1"/>
  <c r="AD75" i="1" a="1"/>
  <c r="AD75" i="1" s="1"/>
  <c r="Z76" i="1" s="1"/>
  <c r="AC76" i="1" l="1" a="1"/>
  <c r="AC76" i="1" s="1"/>
  <c r="Y77" i="1" s="1"/>
  <c r="AB76" i="1" a="1"/>
  <c r="AB76" i="1" s="1"/>
  <c r="AD76" i="1" a="1"/>
  <c r="AD76" i="1" s="1"/>
  <c r="Z77" i="1" s="1"/>
  <c r="AD77" i="1" l="1" a="1"/>
  <c r="AD77" i="1" s="1"/>
  <c r="Z78" i="1" s="1"/>
  <c r="AB77" i="1" a="1"/>
  <c r="AB77" i="1" s="1"/>
  <c r="AC77" i="1" a="1"/>
  <c r="AC77" i="1" s="1"/>
  <c r="Y78" i="1" s="1"/>
  <c r="AD78" i="1" l="1" a="1"/>
  <c r="AD78" i="1" s="1"/>
  <c r="Z79" i="1" s="1"/>
  <c r="AC78" i="1" a="1"/>
  <c r="AC78" i="1" s="1"/>
  <c r="Y79" i="1" s="1"/>
  <c r="AB78" i="1" a="1"/>
  <c r="AB78" i="1" s="1"/>
  <c r="AD79" i="1" l="1" a="1"/>
  <c r="AD79" i="1" s="1"/>
  <c r="Z80" i="1" s="1"/>
  <c r="AC79" i="1" a="1"/>
  <c r="AC79" i="1" s="1"/>
  <c r="Y80" i="1" s="1"/>
  <c r="AB79" i="1" a="1"/>
  <c r="AB79" i="1" s="1"/>
  <c r="AC80" i="1" l="1" a="1"/>
  <c r="AC80" i="1" s="1"/>
  <c r="Y81" i="1" s="1"/>
  <c r="AD80" i="1" a="1"/>
  <c r="AD80" i="1" s="1"/>
  <c r="Z81" i="1" s="1"/>
  <c r="AB80" i="1" a="1"/>
  <c r="AB80" i="1" s="1"/>
  <c r="Z82" i="1" l="1"/>
  <c r="AC81" i="1" a="1"/>
  <c r="AC81" i="1" s="1"/>
  <c r="AD81" i="1" a="1"/>
  <c r="AD81" i="1" s="1"/>
  <c r="Y82" i="1"/>
  <c r="AB81" i="1" a="1"/>
  <c r="AB81" i="1" s="1"/>
  <c r="Y83" i="1" l="1"/>
  <c r="AB82" i="1" a="1"/>
  <c r="AB82" i="1" s="1"/>
  <c r="AC82" i="1" a="1"/>
  <c r="AC82" i="1" s="1"/>
  <c r="AD82" i="1" a="1"/>
  <c r="AD82" i="1" s="1"/>
  <c r="Z83" i="1" s="1"/>
  <c r="AB83" i="1" l="1" a="1"/>
  <c r="AB83" i="1" s="1"/>
  <c r="AC83" i="1" a="1"/>
  <c r="AC83" i="1" s="1"/>
  <c r="Y84" i="1" s="1"/>
  <c r="AD83" i="1" a="1"/>
  <c r="AD83" i="1" s="1"/>
  <c r="Z84" i="1" s="1"/>
  <c r="AD84" i="1" l="1" a="1"/>
  <c r="AD84" i="1" s="1"/>
  <c r="Z85" i="1" s="1"/>
  <c r="AC84" i="1" a="1"/>
  <c r="AC84" i="1" s="1"/>
  <c r="Y85" i="1" s="1"/>
  <c r="AB84" i="1" a="1"/>
  <c r="AB84" i="1" s="1"/>
  <c r="AB85" i="1" l="1" a="1"/>
  <c r="AB85" i="1" s="1"/>
  <c r="AD85" i="1" a="1"/>
  <c r="AD85" i="1" s="1"/>
  <c r="Z86" i="1" s="1"/>
  <c r="AC85" i="1" a="1"/>
  <c r="AC85" i="1" s="1"/>
  <c r="Y86" i="1" s="1"/>
  <c r="AD86" i="1" l="1" a="1"/>
  <c r="AD86" i="1" s="1"/>
  <c r="AC86" i="1" a="1"/>
  <c r="AC86" i="1" s="1"/>
  <c r="Y87" i="1" s="1"/>
  <c r="AB86" i="1" a="1"/>
  <c r="AB86" i="1" s="1"/>
  <c r="Z87" i="1"/>
  <c r="AB87" i="1" l="1" a="1"/>
  <c r="AB87" i="1" s="1"/>
  <c r="AD87" i="1" a="1"/>
  <c r="AD87" i="1" s="1"/>
  <c r="Z88" i="1" s="1"/>
  <c r="AC87" i="1" a="1"/>
  <c r="AC87" i="1" s="1"/>
  <c r="Y88" i="1" s="1"/>
  <c r="AD88" i="1" l="1" a="1"/>
  <c r="AD88" i="1" s="1"/>
  <c r="Z89" i="1" s="1"/>
  <c r="AC88" i="1" a="1"/>
  <c r="AC88" i="1" s="1"/>
  <c r="AB88" i="1" a="1"/>
  <c r="AB88" i="1" s="1"/>
  <c r="Y89" i="1"/>
  <c r="AB89" i="1" l="1" a="1"/>
  <c r="AB89" i="1" s="1"/>
  <c r="AD89" i="1" a="1"/>
  <c r="AD89" i="1" s="1"/>
  <c r="Z90" i="1" s="1"/>
  <c r="AC89" i="1" a="1"/>
  <c r="AC89" i="1" s="1"/>
  <c r="Y90" i="1" s="1"/>
  <c r="AD90" i="1" l="1" a="1"/>
  <c r="AD90" i="1" s="1"/>
  <c r="Z91" i="1" s="1"/>
  <c r="AC90" i="1" a="1"/>
  <c r="AC90" i="1" s="1"/>
  <c r="Y91" i="1" s="1"/>
  <c r="AB90" i="1" a="1"/>
  <c r="AB90" i="1" s="1"/>
  <c r="AC91" i="1" l="1" a="1"/>
  <c r="AC91" i="1" s="1"/>
  <c r="Y92" i="1" s="1"/>
  <c r="AD91" i="1" a="1"/>
  <c r="AD91" i="1" s="1"/>
  <c r="Z92" i="1" s="1"/>
  <c r="AB91" i="1" a="1"/>
  <c r="AB91" i="1" s="1"/>
  <c r="AB92" i="1" l="1" a="1"/>
  <c r="AB92" i="1" s="1"/>
  <c r="AD92" i="1" a="1"/>
  <c r="AD92" i="1" s="1"/>
  <c r="Z93" i="1" s="1"/>
  <c r="AC92" i="1" a="1"/>
  <c r="AC92" i="1" s="1"/>
  <c r="Y93" i="1" s="1"/>
  <c r="AC93" i="1" l="1" a="1"/>
  <c r="AC93" i="1" s="1"/>
  <c r="Y94" i="1" s="1"/>
  <c r="AB93" i="1" a="1"/>
  <c r="AB93" i="1" s="1"/>
  <c r="AD93" i="1" a="1"/>
  <c r="AD93" i="1" s="1"/>
  <c r="Z94" i="1" s="1"/>
  <c r="AC94" i="1" l="1" a="1"/>
  <c r="AC94" i="1" s="1"/>
  <c r="Y95" i="1" s="1"/>
  <c r="AB94" i="1" a="1"/>
  <c r="AB94" i="1" s="1"/>
  <c r="AD94" i="1" a="1"/>
  <c r="AD94" i="1" s="1"/>
  <c r="Z95" i="1" s="1"/>
  <c r="AB95" i="1" l="1" a="1"/>
  <c r="AB95" i="1" s="1"/>
  <c r="AC95" i="1" a="1"/>
  <c r="AC95" i="1" s="1"/>
  <c r="Y96" i="1" s="1"/>
  <c r="AD95" i="1" a="1"/>
  <c r="AD95" i="1" s="1"/>
  <c r="Z96" i="1" s="1"/>
  <c r="AD96" i="1" l="1" a="1"/>
  <c r="AD96" i="1" s="1"/>
  <c r="AC96" i="1" a="1"/>
  <c r="AC96" i="1" s="1"/>
  <c r="Y97" i="1" s="1"/>
  <c r="AB96" i="1" a="1"/>
  <c r="AB96" i="1" s="1"/>
  <c r="Z97" i="1"/>
  <c r="AC97" i="1" l="1" a="1"/>
  <c r="AC97" i="1" s="1"/>
  <c r="Y98" i="1" s="1"/>
  <c r="AB97" i="1" a="1"/>
  <c r="AB97" i="1" s="1"/>
  <c r="AD97" i="1" a="1"/>
  <c r="AD97" i="1" s="1"/>
  <c r="Z98" i="1" s="1"/>
  <c r="AC98" i="1" l="1" a="1"/>
  <c r="AC98" i="1" s="1"/>
  <c r="Y99" i="1" s="1"/>
  <c r="AB98" i="1" a="1"/>
  <c r="AB98" i="1" s="1"/>
  <c r="AD98" i="1" a="1"/>
  <c r="AD98" i="1" s="1"/>
  <c r="Z99" i="1" s="1"/>
  <c r="AD99" i="1" l="1" a="1"/>
  <c r="AD99" i="1" s="1"/>
  <c r="Z100" i="1" s="1"/>
  <c r="AC99" i="1" a="1"/>
  <c r="AC99" i="1" s="1"/>
  <c r="Y100" i="1" s="1"/>
  <c r="AB99" i="1" a="1"/>
  <c r="AB99" i="1" s="1"/>
  <c r="AC100" i="1" l="1" a="1"/>
  <c r="AC100" i="1" s="1"/>
  <c r="Y101" i="1" s="1"/>
  <c r="AD100" i="1" a="1"/>
  <c r="AD100" i="1" s="1"/>
  <c r="Z101" i="1" s="1"/>
  <c r="AB100" i="1" a="1"/>
  <c r="AB100" i="1" s="1"/>
  <c r="AD101" i="1" l="1" a="1"/>
  <c r="AD101" i="1" s="1"/>
  <c r="Z102" i="1" s="1"/>
  <c r="AB101" i="1" a="1"/>
  <c r="AB101" i="1" s="1"/>
  <c r="AC101" i="1" a="1"/>
  <c r="AC101" i="1" s="1"/>
  <c r="Y102" i="1" s="1"/>
  <c r="AB102" i="1" l="1" a="1"/>
  <c r="AB102" i="1" s="1"/>
  <c r="AC102" i="1" a="1"/>
  <c r="AC102" i="1" s="1"/>
  <c r="Y103" i="1" s="1"/>
  <c r="AD102" i="1" a="1"/>
  <c r="AD102" i="1" s="1"/>
  <c r="Z103" i="1" s="1"/>
  <c r="AB103" i="1" l="1" a="1"/>
  <c r="AB103" i="1" s="1"/>
  <c r="AC103" i="1" a="1"/>
  <c r="AC103" i="1" s="1"/>
  <c r="Y104" i="1" s="1"/>
  <c r="AD103" i="1" a="1"/>
  <c r="AD103" i="1" s="1"/>
  <c r="Z104" i="1" s="1"/>
  <c r="AB104" i="1" l="1" a="1"/>
  <c r="AB104" i="1" s="1"/>
  <c r="AD104" i="1" a="1"/>
  <c r="AD104" i="1" s="1"/>
  <c r="Z105" i="1" s="1"/>
  <c r="AC104" i="1" a="1"/>
  <c r="AC104" i="1" s="1"/>
  <c r="Y105" i="1" s="1"/>
  <c r="AD105" i="1" l="1" a="1"/>
  <c r="AD105" i="1" s="1"/>
  <c r="Z106" i="1" s="1"/>
  <c r="AB105" i="1" a="1"/>
  <c r="AB105" i="1" s="1"/>
  <c r="AC105" i="1" a="1"/>
  <c r="AC105" i="1" s="1"/>
  <c r="Y106" i="1" s="1"/>
  <c r="AB106" i="1" l="1" a="1"/>
  <c r="AB106" i="1" s="1"/>
  <c r="AD106" i="1" a="1"/>
  <c r="AD106" i="1" s="1"/>
  <c r="Z107" i="1" s="1"/>
  <c r="AC106" i="1" a="1"/>
  <c r="AC106" i="1" s="1"/>
  <c r="Y107" i="1" s="1"/>
  <c r="AB107" i="1" l="1" a="1"/>
  <c r="AB107" i="1" s="1"/>
  <c r="AD107" i="1" a="1"/>
  <c r="AD107" i="1" s="1"/>
  <c r="Z108" i="1" s="1"/>
  <c r="AC107" i="1" a="1"/>
  <c r="AC107" i="1" s="1"/>
  <c r="Y108" i="1" s="1"/>
  <c r="AC108" i="1" l="1" a="1"/>
  <c r="AC108" i="1" s="1"/>
  <c r="Y109" i="1" s="1"/>
  <c r="AB108" i="1" a="1"/>
  <c r="AB108" i="1" s="1"/>
  <c r="AD108" i="1" a="1"/>
  <c r="AD108" i="1" s="1"/>
  <c r="Z109" i="1" s="1"/>
  <c r="AB109" i="1" l="1" a="1"/>
  <c r="AB109" i="1" s="1"/>
  <c r="AD109" i="1" a="1"/>
  <c r="AD109" i="1" s="1"/>
  <c r="Z110" i="1" s="1"/>
  <c r="AC109" i="1" a="1"/>
  <c r="AC109" i="1" s="1"/>
  <c r="Y110" i="1" s="1"/>
  <c r="AB110" i="1" l="1" a="1"/>
  <c r="AB110" i="1" s="1"/>
  <c r="AC110" i="1" a="1"/>
  <c r="AC110" i="1" s="1"/>
  <c r="Y111" i="1" s="1"/>
  <c r="AD110" i="1" a="1"/>
  <c r="AD110" i="1" s="1"/>
  <c r="Z111" i="1" s="1"/>
  <c r="AC111" i="1" l="1" a="1"/>
  <c r="AC111" i="1" s="1"/>
  <c r="Y112" i="1" s="1"/>
  <c r="AD111" i="1" a="1"/>
  <c r="AD111" i="1" s="1"/>
  <c r="Z112" i="1" s="1"/>
  <c r="AB111" i="1" a="1"/>
  <c r="AB111" i="1" s="1"/>
  <c r="AB112" i="1" l="1" a="1"/>
  <c r="AB112" i="1" s="1"/>
  <c r="AD112" i="1" a="1"/>
  <c r="AD112" i="1" s="1"/>
  <c r="Z113" i="1" s="1"/>
  <c r="AC112" i="1" a="1"/>
  <c r="AC112" i="1" s="1"/>
  <c r="Y113" i="1" s="1"/>
  <c r="AB113" i="1" l="1" a="1"/>
  <c r="AB113" i="1" s="1"/>
  <c r="AC113" i="1" a="1"/>
  <c r="AC113" i="1" s="1"/>
  <c r="Y114" i="1" s="1"/>
  <c r="AD113" i="1" a="1"/>
  <c r="AD113" i="1" s="1"/>
  <c r="Z114" i="1" s="1"/>
  <c r="AD114" i="1" l="1" a="1"/>
  <c r="AD114" i="1" s="1"/>
  <c r="Z115" i="1" s="1"/>
  <c r="AB114" i="1" a="1"/>
  <c r="AB114" i="1" s="1"/>
  <c r="AC114" i="1" a="1"/>
  <c r="AC114" i="1" s="1"/>
  <c r="Y115" i="1" s="1"/>
  <c r="AB115" i="1" l="1" a="1"/>
  <c r="AB115" i="1" s="1"/>
  <c r="AD115" i="1" a="1"/>
  <c r="AD115" i="1" s="1"/>
  <c r="Z116" i="1" s="1"/>
  <c r="AC115" i="1" a="1"/>
  <c r="AC115" i="1" s="1"/>
  <c r="Y116" i="1" s="1"/>
  <c r="AB116" i="1" l="1" a="1"/>
  <c r="AB116" i="1" s="1"/>
  <c r="AD116" i="1" a="1"/>
  <c r="AD116" i="1" s="1"/>
  <c r="Z117" i="1" s="1"/>
  <c r="AC116" i="1" a="1"/>
  <c r="AC116" i="1" s="1"/>
  <c r="Y117" i="1" s="1"/>
  <c r="AC117" i="1" l="1" a="1"/>
  <c r="AC117" i="1" s="1"/>
  <c r="Y118" i="1" s="1"/>
  <c r="AD117" i="1" a="1"/>
  <c r="AD117" i="1" s="1"/>
  <c r="Z118" i="1" s="1"/>
  <c r="AB117" i="1" a="1"/>
  <c r="AB117" i="1" s="1"/>
  <c r="AD118" i="1" l="1" a="1"/>
  <c r="AD118" i="1" s="1"/>
  <c r="Z119" i="1" s="1"/>
  <c r="AC118" i="1" a="1"/>
  <c r="AC118" i="1" s="1"/>
  <c r="Y119" i="1" s="1"/>
  <c r="AB118" i="1" a="1"/>
  <c r="AB118" i="1" s="1"/>
  <c r="AB119" i="1" l="1" a="1"/>
  <c r="AB119" i="1" s="1"/>
  <c r="AC119" i="1" a="1"/>
  <c r="AC119" i="1" s="1"/>
  <c r="Y120" i="1" s="1"/>
  <c r="AD119" i="1" a="1"/>
  <c r="AD119" i="1" s="1"/>
  <c r="Z120" i="1" s="1"/>
  <c r="AC120" i="1" l="1" a="1"/>
  <c r="AC120" i="1" s="1"/>
  <c r="Y121" i="1" s="1"/>
  <c r="AB120" i="1" a="1"/>
  <c r="AB120" i="1" s="1"/>
  <c r="AD120" i="1" a="1"/>
  <c r="AD120" i="1" s="1"/>
  <c r="Z121" i="1" s="1"/>
  <c r="AB121" i="1" l="1" a="1"/>
  <c r="AB121" i="1" s="1"/>
  <c r="AD121" i="1" a="1"/>
  <c r="AD121" i="1" s="1"/>
  <c r="Z122" i="1" s="1"/>
  <c r="AC121" i="1" a="1"/>
  <c r="AC121" i="1" s="1"/>
  <c r="Y122" i="1" s="1"/>
  <c r="AD122" i="1" l="1" a="1"/>
  <c r="AD122" i="1" s="1"/>
  <c r="Z123" i="1" s="1"/>
  <c r="AB122" i="1" a="1"/>
  <c r="AB122" i="1" s="1"/>
  <c r="AC122" i="1" a="1"/>
  <c r="AC122" i="1" s="1"/>
  <c r="Y123" i="1" s="1"/>
  <c r="AD123" i="1" l="1" a="1"/>
  <c r="AD123" i="1" s="1"/>
  <c r="Z124" i="1" s="1"/>
  <c r="AB123" i="1" a="1"/>
  <c r="AB123" i="1" s="1"/>
  <c r="AC123" i="1" a="1"/>
  <c r="AC123" i="1" s="1"/>
  <c r="Y124" i="1" s="1"/>
  <c r="AD124" i="1" l="1" a="1"/>
  <c r="AD124" i="1" s="1"/>
  <c r="Z125" i="1" s="1"/>
  <c r="AC124" i="1" a="1"/>
  <c r="AC124" i="1" s="1"/>
  <c r="Y125" i="1" s="1"/>
  <c r="AB124" i="1" a="1"/>
  <c r="AB124" i="1" s="1"/>
  <c r="AB125" i="1" l="1" a="1"/>
  <c r="AB125" i="1" s="1"/>
  <c r="AD125" i="1" a="1"/>
  <c r="AD125" i="1" s="1"/>
  <c r="Z126" i="1" s="1"/>
  <c r="AC125" i="1" a="1"/>
  <c r="AC125" i="1" s="1"/>
  <c r="Y126" i="1" s="1"/>
  <c r="AC126" i="1" l="1" a="1"/>
  <c r="AC126" i="1" s="1"/>
  <c r="Y127" i="1" s="1"/>
  <c r="AD126" i="1" a="1"/>
  <c r="AD126" i="1" s="1"/>
  <c r="Z127" i="1" s="1"/>
  <c r="AB126" i="1" a="1"/>
  <c r="AB126" i="1" s="1"/>
  <c r="AD127" i="1" l="1" a="1"/>
  <c r="AD127" i="1" s="1"/>
  <c r="Z128" i="1" s="1"/>
  <c r="AC127" i="1" a="1"/>
  <c r="AC127" i="1" s="1"/>
  <c r="Y128" i="1" s="1"/>
  <c r="AB127" i="1" a="1"/>
  <c r="AB127" i="1" s="1"/>
  <c r="AD128" i="1" l="1" a="1"/>
  <c r="AD128" i="1" s="1"/>
  <c r="AC128" i="1" a="1"/>
  <c r="AC128" i="1" s="1"/>
  <c r="Y129" i="1" s="1"/>
  <c r="AB128" i="1" a="1"/>
  <c r="AB128" i="1" s="1"/>
  <c r="Z129" i="1"/>
  <c r="AB129" i="1" l="1" a="1"/>
  <c r="AB129" i="1" s="1"/>
  <c r="AD129" i="1" a="1"/>
  <c r="AD129" i="1" s="1"/>
  <c r="Z130" i="1" s="1"/>
  <c r="AC129" i="1" a="1"/>
  <c r="AC129" i="1" s="1"/>
  <c r="Y130" i="1" s="1"/>
  <c r="AC130" i="1" l="1" a="1"/>
  <c r="AC130" i="1" s="1"/>
  <c r="Y131" i="1" s="1"/>
  <c r="AD130" i="1" a="1"/>
  <c r="AD130" i="1" s="1"/>
  <c r="AB130" i="1" a="1"/>
  <c r="AB130" i="1" s="1"/>
  <c r="Z131" i="1"/>
  <c r="AB131" i="1" l="1" a="1"/>
  <c r="AB131" i="1" s="1"/>
  <c r="AC131" i="1" a="1"/>
  <c r="AC131" i="1" s="1"/>
  <c r="Y132" i="1" s="1"/>
  <c r="AD131" i="1" a="1"/>
  <c r="AD131" i="1" s="1"/>
  <c r="Z132" i="1" s="1"/>
  <c r="AC132" i="1" l="1" a="1"/>
  <c r="AC132" i="1" s="1"/>
  <c r="Y133" i="1" s="1"/>
  <c r="AD132" i="1" a="1"/>
  <c r="AD132" i="1" s="1"/>
  <c r="Z133" i="1" s="1"/>
  <c r="AB132" i="1" a="1"/>
  <c r="AB132" i="1" s="1"/>
  <c r="AB133" i="1" l="1" a="1"/>
  <c r="AB133" i="1" s="1"/>
  <c r="AC133" i="1" a="1"/>
  <c r="AC133" i="1" s="1"/>
  <c r="Y134" i="1" s="1"/>
  <c r="AD133" i="1" a="1"/>
  <c r="AD133" i="1" s="1"/>
  <c r="Z134" i="1" s="1"/>
  <c r="AD134" i="1" l="1" a="1"/>
  <c r="AD134" i="1" s="1"/>
  <c r="Z135" i="1" s="1"/>
  <c r="AC134" i="1" a="1"/>
  <c r="AC134" i="1" s="1"/>
  <c r="Y135" i="1" s="1"/>
  <c r="AB134" i="1" a="1"/>
  <c r="AB134" i="1" s="1"/>
  <c r="AB135" i="1" l="1" a="1"/>
  <c r="AB135" i="1" s="1"/>
  <c r="AD135" i="1" a="1"/>
  <c r="AD135" i="1" s="1"/>
  <c r="Z136" i="1" s="1"/>
  <c r="AC135" i="1" a="1"/>
  <c r="AC135" i="1" s="1"/>
  <c r="Y136" i="1" s="1"/>
  <c r="AC136" i="1" l="1" a="1"/>
  <c r="AC136" i="1" s="1"/>
  <c r="Y137" i="1" s="1"/>
  <c r="AB136" i="1" a="1"/>
  <c r="AB136" i="1" s="1"/>
  <c r="AD136" i="1" a="1"/>
  <c r="AD136" i="1" s="1"/>
  <c r="Z137" i="1" s="1"/>
  <c r="AB137" i="1" l="1" a="1"/>
  <c r="AB137" i="1" s="1"/>
  <c r="AC137" i="1" a="1"/>
  <c r="AC137" i="1" s="1"/>
  <c r="Y138" i="1" s="1"/>
  <c r="AD137" i="1" a="1"/>
  <c r="AD137" i="1" s="1"/>
  <c r="Z138" i="1" s="1"/>
  <c r="AB138" i="1" l="1" a="1"/>
  <c r="AB138" i="1" s="1"/>
  <c r="AD138" i="1" a="1"/>
  <c r="AD138" i="1" s="1"/>
  <c r="Z139" i="1" s="1"/>
  <c r="AC138" i="1" a="1"/>
  <c r="AC138" i="1" s="1"/>
  <c r="Y139" i="1" s="1"/>
  <c r="AC139" i="1" l="1" a="1"/>
  <c r="AC139" i="1" s="1"/>
  <c r="Y140" i="1" s="1"/>
  <c r="AB139" i="1" a="1"/>
  <c r="AB139" i="1" s="1"/>
  <c r="AD139" i="1" a="1"/>
  <c r="AD139" i="1" s="1"/>
  <c r="Z140" i="1" s="1"/>
  <c r="AD140" i="1" l="1" a="1"/>
  <c r="AD140" i="1" s="1"/>
  <c r="Z141" i="1" s="1"/>
  <c r="AC140" i="1" a="1"/>
  <c r="AC140" i="1" s="1"/>
  <c r="Y141" i="1" s="1"/>
  <c r="AB140" i="1" a="1"/>
  <c r="AB140" i="1" s="1"/>
  <c r="AB141" i="1" l="1" a="1"/>
  <c r="AB141" i="1" s="1"/>
  <c r="AD141" i="1" a="1"/>
  <c r="AD141" i="1" s="1"/>
  <c r="Z142" i="1" s="1"/>
  <c r="AC141" i="1" a="1"/>
  <c r="AC141" i="1" s="1"/>
  <c r="Y142" i="1" s="1"/>
  <c r="Z143" i="1" l="1"/>
  <c r="AB142" i="1" a="1"/>
  <c r="AB142" i="1" s="1"/>
  <c r="AD142" i="1" a="1"/>
  <c r="AD142" i="1" s="1"/>
  <c r="AC142" i="1" a="1"/>
  <c r="AC142" i="1" s="1"/>
  <c r="Y143" i="1" s="1"/>
  <c r="AB143" i="1" l="1" a="1"/>
  <c r="AB143" i="1" s="1"/>
  <c r="AD143" i="1" a="1"/>
  <c r="AD143" i="1" s="1"/>
  <c r="Z144" i="1" s="1"/>
  <c r="AC143" i="1" a="1"/>
  <c r="AC143" i="1" s="1"/>
  <c r="Y144" i="1" s="1"/>
  <c r="AB144" i="1" l="1" a="1"/>
  <c r="AB144" i="1" s="1"/>
  <c r="AD144" i="1" a="1"/>
  <c r="AD144" i="1" s="1"/>
  <c r="Z145" i="1" s="1"/>
  <c r="AC144" i="1" a="1"/>
  <c r="AC144" i="1" s="1"/>
  <c r="Y145" i="1" s="1"/>
  <c r="AB145" i="1" l="1" a="1"/>
  <c r="AB145" i="1" s="1"/>
  <c r="AD145" i="1" a="1"/>
  <c r="AD145" i="1" s="1"/>
  <c r="AC145" i="1" a="1"/>
  <c r="AC145" i="1" s="1"/>
  <c r="Y146" i="1" s="1"/>
  <c r="Z146" i="1"/>
  <c r="AD146" i="1" l="1" a="1"/>
  <c r="AD146" i="1" s="1"/>
  <c r="Z147" i="1" s="1"/>
  <c r="AB146" i="1" a="1"/>
  <c r="AB146" i="1" s="1"/>
  <c r="AC146" i="1" a="1"/>
  <c r="AC146" i="1" s="1"/>
  <c r="Y147" i="1" s="1"/>
  <c r="Z148" i="1" l="1"/>
  <c r="AB147" i="1" a="1"/>
  <c r="AB147" i="1" s="1"/>
  <c r="AD147" i="1" a="1"/>
  <c r="AD147" i="1" s="1"/>
  <c r="AC147" i="1" a="1"/>
  <c r="AC147" i="1" s="1"/>
  <c r="Y148" i="1" s="1"/>
  <c r="AC148" i="1" l="1" a="1"/>
  <c r="AC148" i="1" s="1"/>
  <c r="Y149" i="1" s="1"/>
  <c r="AD148" i="1" a="1"/>
  <c r="AD148" i="1" s="1"/>
  <c r="Z149" i="1" s="1"/>
  <c r="AB148" i="1" a="1"/>
  <c r="AB148" i="1" s="1"/>
  <c r="AD149" i="1" l="1" a="1"/>
  <c r="AD149" i="1" s="1"/>
  <c r="Z150" i="1" s="1"/>
  <c r="AC149" i="1" a="1"/>
  <c r="AC149" i="1" s="1"/>
  <c r="Y150" i="1" s="1"/>
  <c r="AB149" i="1" a="1"/>
  <c r="AB149" i="1" s="1"/>
  <c r="AD150" i="1" l="1" a="1"/>
  <c r="AD150" i="1" s="1"/>
  <c r="Z151" i="1" s="1"/>
  <c r="AB150" i="1" a="1"/>
  <c r="AB150" i="1" s="1"/>
  <c r="AC150" i="1" a="1"/>
  <c r="AC150" i="1" s="1"/>
  <c r="Y151" i="1" s="1"/>
  <c r="AD151" i="1" l="1" a="1"/>
  <c r="AD151" i="1" s="1"/>
  <c r="Z152" i="1" s="1"/>
  <c r="AB151" i="1" a="1"/>
  <c r="AB151" i="1" s="1"/>
  <c r="AC151" i="1" a="1"/>
  <c r="AC151" i="1" s="1"/>
  <c r="Y152" i="1" s="1"/>
  <c r="AB152" i="1" l="1" a="1"/>
  <c r="AB152" i="1" s="1"/>
  <c r="AC152" i="1" a="1"/>
  <c r="AC152" i="1" s="1"/>
  <c r="Y153" i="1" s="1"/>
  <c r="AD152" i="1" a="1"/>
  <c r="AD152" i="1" s="1"/>
  <c r="Z153" i="1" s="1"/>
  <c r="AB153" i="1" l="1" a="1"/>
  <c r="AB153" i="1" s="1"/>
  <c r="AD153" i="1" a="1"/>
  <c r="AD153" i="1" s="1"/>
  <c r="Z154" i="1" s="1"/>
  <c r="AC153" i="1" a="1"/>
  <c r="AC153" i="1" s="1"/>
  <c r="Y154" i="1" s="1"/>
  <c r="AC154" i="1" l="1" a="1"/>
  <c r="AC154" i="1" s="1"/>
  <c r="Y155" i="1" s="1"/>
  <c r="AB154" i="1" a="1"/>
  <c r="AB154" i="1" s="1"/>
  <c r="AD154" i="1" a="1"/>
  <c r="AD154" i="1" s="1"/>
  <c r="Z155" i="1" s="1"/>
  <c r="AC155" i="1" l="1" a="1"/>
  <c r="AC155" i="1" s="1"/>
  <c r="Y156" i="1" s="1"/>
  <c r="AB155" i="1" a="1"/>
  <c r="AB155" i="1" s="1"/>
  <c r="AD155" i="1" a="1"/>
  <c r="AD155" i="1" s="1"/>
  <c r="Z156" i="1" s="1"/>
  <c r="AD156" i="1" l="1" a="1"/>
  <c r="AD156" i="1" s="1"/>
  <c r="Z157" i="1" s="1"/>
  <c r="AC156" i="1" a="1"/>
  <c r="AC156" i="1" s="1"/>
  <c r="Y157" i="1" s="1"/>
  <c r="AB156" i="1" a="1"/>
  <c r="AB156" i="1" s="1"/>
  <c r="AD157" i="1" l="1" a="1"/>
  <c r="AD157" i="1" s="1"/>
  <c r="Z158" i="1" s="1"/>
  <c r="AC157" i="1" a="1"/>
  <c r="AC157" i="1" s="1"/>
  <c r="Y158" i="1" s="1"/>
  <c r="AB157" i="1" a="1"/>
  <c r="AB157" i="1" s="1"/>
  <c r="AB158" i="1" l="1" a="1"/>
  <c r="AB158" i="1" s="1"/>
  <c r="AD158" i="1" a="1"/>
  <c r="AD158" i="1" s="1"/>
  <c r="Z159" i="1" s="1"/>
  <c r="AC158" i="1" a="1"/>
  <c r="AC158" i="1" s="1"/>
  <c r="Y159" i="1" s="1"/>
  <c r="AB159" i="1" l="1" a="1"/>
  <c r="AB159" i="1" s="1"/>
  <c r="AD159" i="1" a="1"/>
  <c r="AD159" i="1" s="1"/>
  <c r="Z160" i="1" s="1"/>
  <c r="AC159" i="1" a="1"/>
  <c r="AC159" i="1" s="1"/>
  <c r="Y160" i="1" s="1"/>
  <c r="AB160" i="1" l="1" a="1"/>
  <c r="AB160" i="1" s="1"/>
  <c r="AC160" i="1" a="1"/>
  <c r="AC160" i="1" s="1"/>
  <c r="Y161" i="1" s="1"/>
  <c r="AD160" i="1" a="1"/>
  <c r="AD160" i="1" s="1"/>
  <c r="Z161" i="1" s="1"/>
  <c r="AB161" i="1" l="1" a="1"/>
  <c r="AB161" i="1" s="1"/>
  <c r="AC161" i="1" a="1"/>
  <c r="AC161" i="1" s="1"/>
  <c r="Y162" i="1" s="1"/>
  <c r="AD161" i="1" a="1"/>
  <c r="AD161" i="1" s="1"/>
  <c r="Z162" i="1" s="1"/>
  <c r="AB162" i="1" l="1" a="1"/>
  <c r="AB162" i="1" s="1"/>
  <c r="AC162" i="1" a="1"/>
  <c r="AC162" i="1" s="1"/>
  <c r="Y163" i="1" s="1"/>
  <c r="AD162" i="1" a="1"/>
  <c r="AD162" i="1" s="1"/>
  <c r="Z163" i="1" s="1"/>
  <c r="AD163" i="1" l="1" a="1"/>
  <c r="AD163" i="1" s="1"/>
  <c r="Z164" i="1" s="1"/>
  <c r="AC163" i="1" a="1"/>
  <c r="AC163" i="1" s="1"/>
  <c r="Y164" i="1" s="1"/>
  <c r="AB163" i="1" a="1"/>
  <c r="AB163" i="1" s="1"/>
  <c r="AD164" i="1" l="1" a="1"/>
  <c r="AD164" i="1" s="1"/>
  <c r="Z165" i="1" s="1"/>
  <c r="AB164" i="1" a="1"/>
  <c r="AB164" i="1" s="1"/>
  <c r="AC164" i="1" a="1"/>
  <c r="AC164" i="1" s="1"/>
  <c r="Y165" i="1" s="1"/>
  <c r="AD165" i="1" l="1" a="1"/>
  <c r="AD165" i="1" s="1"/>
  <c r="Z166" i="1" s="1"/>
  <c r="AC165" i="1" a="1"/>
  <c r="AC165" i="1" s="1"/>
  <c r="AB165" i="1" a="1"/>
  <c r="AB165" i="1" s="1"/>
  <c r="Y166" i="1"/>
  <c r="AD166" i="1" l="1" a="1"/>
  <c r="AD166" i="1" s="1"/>
  <c r="Z167" i="1" s="1"/>
  <c r="AB166" i="1" a="1"/>
  <c r="AB166" i="1" s="1"/>
  <c r="AC166" i="1" a="1"/>
  <c r="AC166" i="1" s="1"/>
  <c r="Y167" i="1" s="1"/>
  <c r="AD167" i="1" l="1" a="1"/>
  <c r="AD167" i="1" s="1"/>
  <c r="Z168" i="1" s="1"/>
  <c r="AC167" i="1" a="1"/>
  <c r="AC167" i="1" s="1"/>
  <c r="Y168" i="1" s="1"/>
  <c r="AB167" i="1" a="1"/>
  <c r="AB167" i="1" s="1"/>
  <c r="AD168" i="1" l="1" a="1"/>
  <c r="AD168" i="1" s="1"/>
  <c r="Z169" i="1" s="1"/>
  <c r="AC168" i="1" a="1"/>
  <c r="AC168" i="1" s="1"/>
  <c r="Y169" i="1" s="1"/>
  <c r="AB168" i="1" a="1"/>
  <c r="AB168" i="1" s="1"/>
  <c r="AB169" i="1" l="1" a="1"/>
  <c r="AB169" i="1" s="1"/>
  <c r="AC169" i="1" a="1"/>
  <c r="AC169" i="1" s="1"/>
  <c r="Y170" i="1" s="1"/>
  <c r="AD169" i="1" a="1"/>
  <c r="AD169" i="1" s="1"/>
  <c r="Z170" i="1" s="1"/>
  <c r="AC170" i="1" l="1" a="1"/>
  <c r="AC170" i="1" s="1"/>
  <c r="Y171" i="1" s="1"/>
  <c r="AD170" i="1" a="1"/>
  <c r="AD170" i="1" s="1"/>
  <c r="Z171" i="1" s="1"/>
  <c r="AB170" i="1" a="1"/>
  <c r="AB170" i="1" s="1"/>
  <c r="AD171" i="1" l="1" a="1"/>
  <c r="AD171" i="1" s="1"/>
  <c r="Z172" i="1" s="1"/>
  <c r="AC171" i="1" a="1"/>
  <c r="AC171" i="1" s="1"/>
  <c r="Y172" i="1" s="1"/>
  <c r="AB171" i="1" a="1"/>
  <c r="AB171" i="1" s="1"/>
  <c r="AD172" i="1" l="1" a="1"/>
  <c r="AD172" i="1" s="1"/>
  <c r="Z173" i="1" s="1"/>
  <c r="AB172" i="1" a="1"/>
  <c r="AB172" i="1" s="1"/>
  <c r="AC172" i="1" a="1"/>
  <c r="AC172" i="1" s="1"/>
  <c r="Y173" i="1" s="1"/>
  <c r="AD173" i="1" l="1" a="1"/>
  <c r="AD173" i="1" s="1"/>
  <c r="Z174" i="1" s="1"/>
  <c r="AC173" i="1" a="1"/>
  <c r="AC173" i="1" s="1"/>
  <c r="Y174" i="1" s="1"/>
  <c r="AB173" i="1" a="1"/>
  <c r="AB173" i="1" s="1"/>
  <c r="AC174" i="1" l="1" a="1"/>
  <c r="AC174" i="1" s="1"/>
  <c r="Y175" i="1" s="1"/>
  <c r="AB174" i="1" a="1"/>
  <c r="AB174" i="1" s="1"/>
  <c r="AD174" i="1" a="1"/>
  <c r="AD174" i="1" s="1"/>
  <c r="Z175" i="1" s="1"/>
  <c r="AC175" i="1" l="1" a="1"/>
  <c r="AC175" i="1" s="1"/>
  <c r="AB175" i="1" a="1"/>
  <c r="AB175" i="1" s="1"/>
  <c r="AD175" i="1" a="1"/>
  <c r="AD175" i="1" s="1"/>
  <c r="Z176" i="1" s="1"/>
  <c r="Y176" i="1"/>
  <c r="AB176" i="1" l="1" a="1"/>
  <c r="AB176" i="1" s="1"/>
  <c r="AC176" i="1" a="1"/>
  <c r="AC176" i="1" s="1"/>
  <c r="Y177" i="1" s="1"/>
  <c r="AD176" i="1" a="1"/>
  <c r="AD176" i="1" s="1"/>
  <c r="Z177" i="1" s="1"/>
  <c r="AB177" i="1" l="1" a="1"/>
  <c r="AB177" i="1" s="1"/>
  <c r="AD177" i="1" a="1"/>
  <c r="AD177" i="1" s="1"/>
  <c r="Z178" i="1" s="1"/>
  <c r="AC177" i="1" a="1"/>
  <c r="AC177" i="1" s="1"/>
  <c r="Y178" i="1" s="1"/>
  <c r="AB178" i="1" l="1" a="1"/>
  <c r="AB178" i="1" s="1"/>
  <c r="AC178" i="1" a="1"/>
  <c r="AC178" i="1" s="1"/>
  <c r="Y179" i="1" s="1"/>
  <c r="AD178" i="1" a="1"/>
  <c r="AD178" i="1" s="1"/>
  <c r="Z179" i="1" s="1"/>
  <c r="AD179" i="1" l="1" a="1"/>
  <c r="AD179" i="1" s="1"/>
  <c r="Z180" i="1" s="1"/>
  <c r="AB179" i="1" a="1"/>
  <c r="AB179" i="1" s="1"/>
  <c r="AC179" i="1" a="1"/>
  <c r="AC179" i="1" s="1"/>
  <c r="Y180" i="1" s="1"/>
  <c r="AC180" i="1" l="1" a="1"/>
  <c r="AC180" i="1" s="1"/>
  <c r="Y181" i="1" s="1"/>
  <c r="AB180" i="1" a="1"/>
  <c r="AB180" i="1" s="1"/>
  <c r="AD180" i="1" a="1"/>
  <c r="AD180" i="1" s="1"/>
  <c r="Z181" i="1" s="1"/>
  <c r="AD181" i="1" l="1" a="1"/>
  <c r="AD181" i="1" s="1"/>
  <c r="Z182" i="1" s="1"/>
  <c r="AB181" i="1" a="1"/>
  <c r="AB181" i="1" s="1"/>
  <c r="AC181" i="1" a="1"/>
  <c r="AC181" i="1" s="1"/>
  <c r="Y182" i="1" s="1"/>
  <c r="AC182" i="1" l="1" a="1"/>
  <c r="AC182" i="1" s="1"/>
  <c r="AD182" i="1" a="1"/>
  <c r="AD182" i="1" s="1"/>
  <c r="Z183" i="1" s="1"/>
  <c r="Y183" i="1"/>
  <c r="AB182" i="1" a="1"/>
  <c r="AB182" i="1" s="1"/>
  <c r="AC183" i="1" l="1" a="1"/>
  <c r="AC183" i="1" s="1"/>
  <c r="AB183" i="1" a="1"/>
  <c r="AB183" i="1" s="1"/>
  <c r="AD183" i="1" a="1"/>
  <c r="AD183" i="1" s="1"/>
  <c r="Z184" i="1" s="1"/>
  <c r="Y184" i="1"/>
  <c r="AB184" i="1" l="1" a="1"/>
  <c r="AB184" i="1" s="1"/>
  <c r="AC184" i="1" a="1"/>
  <c r="AC184" i="1" s="1"/>
  <c r="Y185" i="1" s="1"/>
  <c r="AD184" i="1" a="1"/>
  <c r="AD184" i="1" s="1"/>
  <c r="Z185" i="1" s="1"/>
  <c r="AC185" i="1" l="1" a="1"/>
  <c r="AC185" i="1" s="1"/>
  <c r="Y186" i="1" s="1"/>
  <c r="AD185" i="1" a="1"/>
  <c r="AD185" i="1" s="1"/>
  <c r="Z186" i="1" s="1"/>
  <c r="AB185" i="1" a="1"/>
  <c r="AB185" i="1" s="1"/>
  <c r="AC186" i="1" l="1" a="1"/>
  <c r="AC186" i="1" s="1"/>
  <c r="Y187" i="1" s="1"/>
  <c r="AD186" i="1" a="1"/>
  <c r="AD186" i="1" s="1"/>
  <c r="Z187" i="1" s="1"/>
  <c r="AB186" i="1" a="1"/>
  <c r="AB186" i="1" s="1"/>
  <c r="AB187" i="1" l="1" a="1"/>
  <c r="AB187" i="1" s="1"/>
  <c r="AD187" i="1" a="1"/>
  <c r="AD187" i="1" s="1"/>
  <c r="Z188" i="1" s="1"/>
  <c r="AC187" i="1" a="1"/>
  <c r="AC187" i="1" s="1"/>
  <c r="Y188" i="1" s="1"/>
  <c r="AC188" i="1" l="1" a="1"/>
  <c r="AC188" i="1" s="1"/>
  <c r="Y189" i="1" s="1"/>
  <c r="AD188" i="1" a="1"/>
  <c r="AD188" i="1" s="1"/>
  <c r="AB188" i="1" a="1"/>
  <c r="AB188" i="1" s="1"/>
  <c r="Z189" i="1"/>
  <c r="Y190" i="1" l="1"/>
  <c r="AC189" i="1" a="1"/>
  <c r="AC189" i="1" s="1"/>
  <c r="AD189" i="1" a="1"/>
  <c r="AD189" i="1" s="1"/>
  <c r="AB189" i="1" a="1"/>
  <c r="AB189" i="1" s="1"/>
  <c r="Z190" i="1"/>
  <c r="AD190" i="1" l="1" a="1"/>
  <c r="AD190" i="1" s="1"/>
  <c r="Z191" i="1" s="1"/>
  <c r="AB190" i="1" a="1"/>
  <c r="AB190" i="1" s="1"/>
  <c r="AC190" i="1" a="1"/>
  <c r="AC190" i="1" s="1"/>
  <c r="Y191" i="1" s="1"/>
  <c r="AB191" i="1" l="1" a="1"/>
  <c r="AB191" i="1" s="1"/>
  <c r="AD191" i="1" a="1"/>
  <c r="AD191" i="1" s="1"/>
  <c r="Z192" i="1" s="1"/>
  <c r="AC191" i="1" a="1"/>
  <c r="AC191" i="1" s="1"/>
  <c r="Y192" i="1" s="1"/>
  <c r="AB192" i="1" l="1" a="1"/>
  <c r="AB192" i="1" s="1"/>
  <c r="AC192" i="1" a="1"/>
  <c r="AC192" i="1" s="1"/>
  <c r="Y193" i="1" s="1"/>
  <c r="AD192" i="1" a="1"/>
  <c r="AD192" i="1" s="1"/>
  <c r="Z193" i="1" s="1"/>
  <c r="AB193" i="1" l="1" a="1"/>
  <c r="AB193" i="1" s="1"/>
  <c r="AC193" i="1" a="1"/>
  <c r="AC193" i="1" s="1"/>
  <c r="Y194" i="1" s="1"/>
  <c r="AD193" i="1" a="1"/>
  <c r="AD193" i="1" s="1"/>
  <c r="Z194" i="1" s="1"/>
  <c r="AC194" i="1" l="1" a="1"/>
  <c r="AC194" i="1" s="1"/>
  <c r="Y195" i="1" s="1"/>
  <c r="AD194" i="1" a="1"/>
  <c r="AD194" i="1" s="1"/>
  <c r="AB194" i="1" a="1"/>
  <c r="AB194" i="1" s="1"/>
  <c r="Z195" i="1"/>
  <c r="AD195" i="1" l="1" a="1"/>
  <c r="AD195" i="1" s="1"/>
  <c r="Z196" i="1" s="1"/>
  <c r="AB195" i="1" a="1"/>
  <c r="AB195" i="1" s="1"/>
  <c r="AC195" i="1" a="1"/>
  <c r="AC195" i="1" s="1"/>
  <c r="Y196" i="1" s="1"/>
  <c r="AD196" i="1" l="1" a="1"/>
  <c r="AD196" i="1" s="1"/>
  <c r="Z197" i="1" s="1"/>
  <c r="AC196" i="1" a="1"/>
  <c r="AC196" i="1" s="1"/>
  <c r="Y197" i="1" s="1"/>
  <c r="AB196" i="1" a="1"/>
  <c r="AB196" i="1" s="1"/>
  <c r="AD197" i="1" l="1" a="1"/>
  <c r="AD197" i="1" s="1"/>
  <c r="Z198" i="1" s="1"/>
  <c r="AC197" i="1" a="1"/>
  <c r="AC197" i="1" s="1"/>
  <c r="Y198" i="1"/>
  <c r="AB197" i="1" a="1"/>
  <c r="AB197" i="1" s="1"/>
  <c r="AC198" i="1" l="1" a="1"/>
  <c r="AC198" i="1" s="1"/>
  <c r="Y199" i="1" s="1"/>
  <c r="AB198" i="1" a="1"/>
  <c r="AB198" i="1" s="1"/>
  <c r="AD198" i="1" a="1"/>
  <c r="AD198" i="1" s="1"/>
  <c r="Z199" i="1" s="1"/>
  <c r="AC199" i="1" l="1" a="1"/>
  <c r="AC199" i="1" s="1"/>
  <c r="AB199" i="1" a="1"/>
  <c r="AB199" i="1" s="1"/>
  <c r="AD199" i="1" a="1"/>
  <c r="AD199" i="1" s="1"/>
  <c r="Z200" i="1" s="1"/>
  <c r="Y200" i="1"/>
  <c r="AB200" i="1" l="1" a="1"/>
  <c r="AB200" i="1" s="1"/>
  <c r="AD200" i="1" a="1"/>
  <c r="AD200" i="1" s="1"/>
  <c r="Z201" i="1" s="1"/>
  <c r="AC200" i="1" a="1"/>
  <c r="AC200" i="1" s="1"/>
  <c r="Y201" i="1" s="1"/>
  <c r="AB201" i="1" l="1" a="1"/>
  <c r="AB201" i="1" s="1"/>
  <c r="AC201" i="1" a="1"/>
  <c r="AC201" i="1" s="1"/>
  <c r="Y202" i="1" s="1"/>
  <c r="AD201" i="1" a="1"/>
  <c r="AD201" i="1" s="1"/>
  <c r="Z202" i="1" s="1"/>
  <c r="AB202" i="1" l="1" a="1"/>
  <c r="AB202" i="1" s="1"/>
  <c r="AD202" i="1" a="1"/>
  <c r="AD202" i="1" s="1"/>
  <c r="Z203" i="1" s="1"/>
  <c r="AC202" i="1" a="1"/>
  <c r="AC202" i="1" s="1"/>
  <c r="Y203" i="1" s="1"/>
  <c r="AD203" i="1" l="1" a="1"/>
  <c r="AD203" i="1" s="1"/>
  <c r="Z204" i="1" s="1"/>
  <c r="AC203" i="1" a="1"/>
  <c r="AC203" i="1" s="1"/>
  <c r="Y204" i="1" s="1"/>
  <c r="AB203" i="1" a="1"/>
  <c r="AB203" i="1" s="1"/>
  <c r="AD204" i="1" l="1" a="1"/>
  <c r="AD204" i="1" s="1"/>
  <c r="Z205" i="1" s="1"/>
  <c r="AC204" i="1" a="1"/>
  <c r="AC204" i="1" s="1"/>
  <c r="Y205" i="1" s="1"/>
  <c r="AB204" i="1" a="1"/>
  <c r="AB204" i="1" s="1"/>
  <c r="AD205" i="1" l="1" a="1"/>
  <c r="AD205" i="1" s="1"/>
  <c r="Z206" i="1" s="1"/>
  <c r="AC205" i="1" a="1"/>
  <c r="AC205" i="1" s="1"/>
  <c r="Y206" i="1" s="1"/>
  <c r="AB205" i="1" a="1"/>
  <c r="AB205" i="1" s="1"/>
  <c r="AC206" i="1" l="1" a="1"/>
  <c r="AC206" i="1" s="1"/>
  <c r="Y207" i="1" s="1"/>
  <c r="AB206" i="1" a="1"/>
  <c r="AB206" i="1" s="1"/>
  <c r="AD206" i="1" a="1"/>
  <c r="AD206" i="1" s="1"/>
  <c r="Z207" i="1" s="1"/>
  <c r="AC207" i="1" l="1" a="1"/>
  <c r="AC207" i="1" s="1"/>
  <c r="Y208" i="1" s="1"/>
  <c r="AB207" i="1" a="1"/>
  <c r="AB207" i="1" s="1"/>
  <c r="AD207" i="1" a="1"/>
  <c r="AD207" i="1" s="1"/>
  <c r="Z208" i="1" s="1"/>
  <c r="AD208" i="1" l="1" a="1"/>
  <c r="AD208" i="1" s="1"/>
  <c r="Z209" i="1" s="1"/>
  <c r="AC208" i="1" a="1"/>
  <c r="AC208" i="1" s="1"/>
  <c r="Y209" i="1" s="1"/>
  <c r="AB208" i="1" a="1"/>
  <c r="AB208" i="1" s="1"/>
  <c r="AB209" i="1" l="1" a="1"/>
  <c r="AB209" i="1" s="1"/>
  <c r="AD209" i="1" a="1"/>
  <c r="AD209" i="1" s="1"/>
  <c r="Z210" i="1" s="1"/>
  <c r="AC209" i="1" a="1"/>
  <c r="AC209" i="1" s="1"/>
  <c r="Y210" i="1" s="1"/>
  <c r="AB210" i="1" l="1" a="1"/>
  <c r="AB210" i="1" s="1"/>
  <c r="AD210" i="1" a="1"/>
  <c r="AD210" i="1" s="1"/>
  <c r="Z211" i="1" s="1"/>
  <c r="AC210" i="1" a="1"/>
  <c r="AC210" i="1" s="1"/>
  <c r="Y211" i="1" s="1"/>
  <c r="AD211" i="1" l="1" a="1"/>
  <c r="AD211" i="1" s="1"/>
  <c r="Z212" i="1" s="1"/>
  <c r="AC211" i="1" a="1"/>
  <c r="AC211" i="1" s="1"/>
  <c r="Y212" i="1" s="1"/>
  <c r="AB211" i="1" a="1"/>
  <c r="AB211" i="1" s="1"/>
  <c r="AD212" i="1" l="1" a="1"/>
  <c r="AD212" i="1" s="1"/>
  <c r="Z213" i="1" s="1"/>
  <c r="AB212" i="1" a="1"/>
  <c r="AB212" i="1" s="1"/>
  <c r="AC212" i="1" a="1"/>
  <c r="AC212" i="1" s="1"/>
  <c r="Y213" i="1" s="1"/>
  <c r="AD213" i="1" l="1" a="1"/>
  <c r="AD213" i="1" s="1"/>
  <c r="Z214" i="1" s="1"/>
  <c r="AC213" i="1" a="1"/>
  <c r="AC213" i="1" s="1"/>
  <c r="AB213" i="1" a="1"/>
  <c r="AB213" i="1" s="1"/>
  <c r="Y214" i="1"/>
  <c r="AC214" i="1" l="1" a="1"/>
  <c r="AC214" i="1" s="1"/>
  <c r="Y215" i="1" s="1"/>
  <c r="AD214" i="1" a="1"/>
  <c r="AD214" i="1" s="1"/>
  <c r="Z215" i="1" s="1"/>
  <c r="AB214" i="1" a="1"/>
  <c r="AB214" i="1" s="1"/>
  <c r="AD215" i="1" l="1" a="1"/>
  <c r="AD215" i="1" s="1"/>
  <c r="Z216" i="1" s="1"/>
  <c r="AC215" i="1" a="1"/>
  <c r="AC215" i="1" s="1"/>
  <c r="Y216" i="1" s="1"/>
  <c r="AB215" i="1" a="1"/>
  <c r="AB215" i="1" s="1"/>
  <c r="AB216" i="1" l="1" a="1"/>
  <c r="AB216" i="1" s="1"/>
  <c r="AD216" i="1" a="1"/>
  <c r="AD216" i="1" s="1"/>
  <c r="Z217" i="1" s="1"/>
  <c r="AC216" i="1" a="1"/>
  <c r="AC216" i="1" s="1"/>
  <c r="Y217" i="1" s="1"/>
  <c r="AD217" i="1" l="1" a="1"/>
  <c r="AD217" i="1" s="1"/>
  <c r="Z218" i="1" s="1"/>
  <c r="AC217" i="1" a="1"/>
  <c r="AC217" i="1" s="1"/>
  <c r="Y218" i="1" s="1"/>
  <c r="AB217" i="1" a="1"/>
  <c r="AB217" i="1" s="1"/>
  <c r="AB218" i="1" l="1" a="1"/>
  <c r="AB218" i="1" s="1"/>
  <c r="AC218" i="1" a="1"/>
  <c r="AC218" i="1" s="1"/>
  <c r="Y219" i="1" s="1"/>
  <c r="AD218" i="1" a="1"/>
  <c r="AD218" i="1" s="1"/>
  <c r="Z219" i="1" s="1"/>
  <c r="AD219" i="1" l="1" a="1"/>
  <c r="AD219" i="1" s="1"/>
  <c r="Z220" i="1" s="1"/>
  <c r="AB219" i="1" a="1"/>
  <c r="AB219" i="1" s="1"/>
  <c r="AC219" i="1" a="1"/>
  <c r="AC219" i="1" s="1"/>
  <c r="Y220" i="1" s="1"/>
  <c r="AD220" i="1" l="1" a="1"/>
  <c r="AD220" i="1" s="1"/>
  <c r="Z221" i="1" s="1"/>
  <c r="AC220" i="1" a="1"/>
  <c r="AC220" i="1" s="1"/>
  <c r="Y221" i="1" s="1"/>
  <c r="AB220" i="1" a="1"/>
  <c r="AB220" i="1" s="1"/>
  <c r="AC221" i="1" l="1" a="1"/>
  <c r="AC221" i="1" s="1"/>
  <c r="Y222" i="1" s="1"/>
  <c r="AB221" i="1" a="1"/>
  <c r="AB221" i="1" s="1"/>
  <c r="AD221" i="1" a="1"/>
  <c r="AD221" i="1" s="1"/>
  <c r="Z222" i="1" s="1"/>
  <c r="AC222" i="1" l="1" a="1"/>
  <c r="AC222" i="1" s="1"/>
  <c r="AB222" i="1" a="1"/>
  <c r="AB222" i="1" s="1"/>
  <c r="Y223" i="1"/>
  <c r="AD222" i="1" a="1"/>
  <c r="AD222" i="1" s="1"/>
  <c r="Z223" i="1" s="1"/>
  <c r="AB223" i="1" l="1" a="1"/>
  <c r="AB223" i="1" s="1"/>
  <c r="AC223" i="1" a="1"/>
  <c r="AC223" i="1" s="1"/>
  <c r="Y224" i="1" s="1"/>
  <c r="AD223" i="1" a="1"/>
  <c r="AD223" i="1" s="1"/>
  <c r="Z224" i="1" s="1"/>
  <c r="AB224" i="1" l="1" a="1"/>
  <c r="AB224" i="1" s="1"/>
  <c r="AD224" i="1" a="1"/>
  <c r="AD224" i="1" s="1"/>
  <c r="Z225" i="1" s="1"/>
  <c r="AC224" i="1" a="1"/>
  <c r="AC224" i="1" s="1"/>
  <c r="Y225" i="1" s="1"/>
  <c r="AB225" i="1" l="1" a="1"/>
  <c r="AB225" i="1" s="1"/>
  <c r="AD225" i="1" a="1"/>
  <c r="AD225" i="1" s="1"/>
  <c r="Z226" i="1" s="1"/>
  <c r="AC225" i="1" a="1"/>
  <c r="AC225" i="1" s="1"/>
  <c r="Y226" i="1" s="1"/>
  <c r="AD226" i="1" l="1" a="1"/>
  <c r="AD226" i="1" s="1"/>
  <c r="Z227" i="1" s="1"/>
  <c r="AB226" i="1" a="1"/>
  <c r="AB226" i="1" s="1"/>
  <c r="AC226" i="1" a="1"/>
  <c r="AC226" i="1" s="1"/>
  <c r="Y227" i="1" s="1"/>
  <c r="AD227" i="1" l="1" a="1"/>
  <c r="AD227" i="1" s="1"/>
  <c r="Z228" i="1" s="1"/>
  <c r="AC227" i="1" a="1"/>
  <c r="AC227" i="1" s="1"/>
  <c r="Y228" i="1" s="1"/>
  <c r="AB227" i="1" a="1"/>
  <c r="AB227" i="1" s="1"/>
  <c r="AD228" i="1" l="1" a="1"/>
  <c r="AD228" i="1" s="1"/>
  <c r="Z229" i="1" s="1"/>
  <c r="AC228" i="1" a="1"/>
  <c r="AC228" i="1" s="1"/>
  <c r="Y229" i="1" s="1"/>
  <c r="AB228" i="1" a="1"/>
  <c r="AB228" i="1" s="1"/>
  <c r="AC229" i="1" l="1" a="1"/>
  <c r="AC229" i="1" s="1"/>
  <c r="Y230" i="1" s="1"/>
  <c r="AB229" i="1" a="1"/>
  <c r="AB229" i="1" s="1"/>
  <c r="AD229" i="1" a="1"/>
  <c r="AD229" i="1" s="1"/>
  <c r="Z230" i="1" s="1"/>
  <c r="AB230" i="1" l="1" a="1"/>
  <c r="AB230" i="1" s="1"/>
  <c r="AD230" i="1" a="1"/>
  <c r="AD230" i="1" s="1"/>
  <c r="Z231" i="1" s="1"/>
  <c r="AC230" i="1" a="1"/>
  <c r="AC230" i="1" s="1"/>
  <c r="Y231" i="1" s="1"/>
  <c r="AC231" i="1" l="1" a="1"/>
  <c r="AC231" i="1" s="1"/>
  <c r="Y232" i="1" s="1"/>
  <c r="AB231" i="1" a="1"/>
  <c r="AB231" i="1" s="1"/>
  <c r="AD231" i="1" a="1"/>
  <c r="AD231" i="1" s="1"/>
  <c r="Z232" i="1" s="1"/>
  <c r="AB232" i="1" l="1" a="1"/>
  <c r="AB232" i="1" s="1"/>
  <c r="AD232" i="1" a="1"/>
  <c r="AD232" i="1" s="1"/>
  <c r="Z233" i="1" s="1"/>
  <c r="AC232" i="1" a="1"/>
  <c r="AC232" i="1" s="1"/>
  <c r="Y233" i="1" s="1"/>
  <c r="AB233" i="1" l="1" a="1"/>
  <c r="AB233" i="1" s="1"/>
  <c r="AC233" i="1" a="1"/>
  <c r="AC233" i="1" s="1"/>
  <c r="Y234" i="1" s="1"/>
  <c r="AD233" i="1" a="1"/>
  <c r="AD233" i="1" s="1"/>
  <c r="Z234" i="1" s="1"/>
  <c r="AD234" i="1" l="1" a="1"/>
  <c r="AD234" i="1" s="1"/>
  <c r="Z235" i="1" s="1"/>
  <c r="AC234" i="1" a="1"/>
  <c r="AC234" i="1" s="1"/>
  <c r="Y235" i="1" s="1"/>
  <c r="AB234" i="1" a="1"/>
  <c r="AB234" i="1" s="1"/>
  <c r="AD235" i="1" l="1" a="1"/>
  <c r="AD235" i="1" s="1"/>
  <c r="Z236" i="1" s="1"/>
  <c r="AC235" i="1" a="1"/>
  <c r="AC235" i="1" s="1"/>
  <c r="Y236" i="1" s="1"/>
  <c r="AB235" i="1" a="1"/>
  <c r="AB235" i="1" s="1"/>
  <c r="AC236" i="1" l="1" a="1"/>
  <c r="AC236" i="1" s="1"/>
  <c r="Y237" i="1" s="1"/>
  <c r="AB236" i="1" a="1"/>
  <c r="AB236" i="1" s="1"/>
  <c r="AD236" i="1" a="1"/>
  <c r="AD236" i="1" s="1"/>
  <c r="Z237" i="1" s="1"/>
  <c r="AC237" i="1" l="1" a="1"/>
  <c r="AC237" i="1" s="1"/>
  <c r="Y238" i="1" s="1"/>
  <c r="AD237" i="1" a="1"/>
  <c r="AD237" i="1" s="1"/>
  <c r="Z238" i="1" s="1"/>
  <c r="AB237" i="1" a="1"/>
  <c r="AB237" i="1" s="1"/>
  <c r="AB238" i="1" l="1" a="1"/>
  <c r="AB238" i="1" s="1"/>
  <c r="AC238" i="1" a="1"/>
  <c r="AC238" i="1" s="1"/>
  <c r="Y239" i="1" s="1"/>
  <c r="AD238" i="1" a="1"/>
  <c r="AD238" i="1" s="1"/>
  <c r="Z239" i="1" s="1"/>
  <c r="AB239" i="1" l="1" a="1"/>
  <c r="AB239" i="1" s="1"/>
  <c r="AD239" i="1" a="1"/>
  <c r="AD239" i="1" s="1"/>
  <c r="Z240" i="1" s="1"/>
  <c r="AC239" i="1" a="1"/>
  <c r="AC239" i="1" s="1"/>
  <c r="Y240" i="1" s="1"/>
  <c r="AC240" i="1" l="1" a="1"/>
  <c r="AC240" i="1" s="1"/>
  <c r="Y241" i="1" s="1"/>
  <c r="AD240" i="1" a="1"/>
  <c r="AD240" i="1" s="1"/>
  <c r="Z241" i="1" s="1"/>
  <c r="AB240" i="1" a="1"/>
  <c r="AB240" i="1" s="1"/>
  <c r="AD241" i="1" l="1" a="1"/>
  <c r="AD241" i="1" s="1"/>
  <c r="Z242" i="1" s="1"/>
  <c r="AC241" i="1" a="1"/>
  <c r="AC241" i="1" s="1"/>
  <c r="Y242" i="1" s="1"/>
  <c r="AB241" i="1" a="1"/>
  <c r="AB241" i="1" s="1"/>
  <c r="AD242" i="1" l="1" a="1"/>
  <c r="AD242" i="1" s="1"/>
  <c r="Z243" i="1" s="1"/>
  <c r="AC242" i="1" a="1"/>
  <c r="AC242" i="1" s="1"/>
  <c r="Y243" i="1" s="1"/>
  <c r="AB242" i="1" a="1"/>
  <c r="AB242" i="1" s="1"/>
  <c r="AD243" i="1" l="1" a="1"/>
  <c r="AD243" i="1" s="1"/>
  <c r="Z244" i="1" s="1"/>
  <c r="AB243" i="1" a="1"/>
  <c r="AB243" i="1" s="1"/>
  <c r="AC243" i="1" a="1"/>
  <c r="AC243" i="1" s="1"/>
  <c r="Y244" i="1" s="1"/>
  <c r="AD244" i="1" l="1" a="1"/>
  <c r="AD244" i="1" s="1"/>
  <c r="Z245" i="1" s="1"/>
  <c r="AC244" i="1" a="1"/>
  <c r="AC244" i="1" s="1"/>
  <c r="Y245" i="1" s="1"/>
  <c r="AB244" i="1" a="1"/>
  <c r="AB244" i="1" s="1"/>
  <c r="AC245" i="1" l="1" a="1"/>
  <c r="AC245" i="1" s="1"/>
  <c r="Y246" i="1" s="1"/>
  <c r="AD245" i="1" a="1"/>
  <c r="AD245" i="1" s="1"/>
  <c r="Z246" i="1" s="1"/>
  <c r="AB245" i="1" a="1"/>
  <c r="AB245" i="1" s="1"/>
  <c r="AC246" i="1" l="1" a="1"/>
  <c r="AC246" i="1" s="1"/>
  <c r="Y247" i="1" s="1"/>
  <c r="AD246" i="1" a="1"/>
  <c r="AD246" i="1" s="1"/>
  <c r="Z247" i="1" s="1"/>
  <c r="AB246" i="1" a="1"/>
  <c r="AB246" i="1" s="1"/>
  <c r="AD247" i="1" l="1" a="1"/>
  <c r="AD247" i="1" s="1"/>
  <c r="Z248" i="1" s="1"/>
  <c r="AB247" i="1" a="1"/>
  <c r="AB247" i="1" s="1"/>
  <c r="AC247" i="1" a="1"/>
  <c r="AC247" i="1" s="1"/>
  <c r="Y248" i="1" s="1"/>
  <c r="AB248" i="1" l="1" a="1"/>
  <c r="AB248" i="1" s="1"/>
  <c r="AD248" i="1" a="1"/>
  <c r="AD248" i="1" s="1"/>
  <c r="Z249" i="1" s="1"/>
  <c r="AC248" i="1" a="1"/>
  <c r="AC248" i="1" s="1"/>
  <c r="Y249" i="1" s="1"/>
  <c r="AC249" i="1" l="1" a="1"/>
  <c r="AC249" i="1" s="1"/>
  <c r="Y250" i="1" s="1"/>
  <c r="AD249" i="1" a="1"/>
  <c r="AD249" i="1" s="1"/>
  <c r="Z250" i="1" s="1"/>
  <c r="AB249" i="1" a="1"/>
  <c r="AB249" i="1" s="1"/>
  <c r="AB250" i="1" l="1" a="1"/>
  <c r="AB250" i="1" s="1"/>
  <c r="AD250" i="1" a="1"/>
  <c r="AD250" i="1" s="1"/>
  <c r="Z251" i="1" s="1"/>
  <c r="AC250" i="1" a="1"/>
  <c r="AC250" i="1" s="1"/>
  <c r="Y251" i="1" s="1"/>
  <c r="AC251" i="1" l="1" a="1"/>
  <c r="AC251" i="1" s="1"/>
  <c r="Y252" i="1" s="1"/>
  <c r="AB251" i="1" a="1"/>
  <c r="AB251" i="1" s="1"/>
  <c r="AD251" i="1" a="1"/>
  <c r="AD251" i="1" s="1"/>
  <c r="Z252" i="1" s="1"/>
  <c r="AD252" i="1" l="1" a="1"/>
  <c r="AD252" i="1" s="1"/>
  <c r="Z253" i="1" s="1"/>
  <c r="AC252" i="1" a="1"/>
  <c r="AC252" i="1" s="1"/>
  <c r="Y253" i="1" s="1"/>
  <c r="AB252" i="1" a="1"/>
  <c r="AB252" i="1" s="1"/>
  <c r="AB253" i="1" l="1" a="1"/>
  <c r="AB253" i="1" s="1"/>
  <c r="AD253" i="1" a="1"/>
  <c r="AD253" i="1" s="1"/>
  <c r="Z254" i="1" s="1"/>
  <c r="AC253" i="1" a="1"/>
  <c r="AC253" i="1" s="1"/>
  <c r="Y254" i="1" s="1"/>
  <c r="AC254" i="1" l="1" a="1"/>
  <c r="AC254" i="1" s="1"/>
  <c r="Y255" i="1" s="1"/>
  <c r="AB254" i="1" a="1"/>
  <c r="AB254" i="1" s="1"/>
  <c r="AD254" i="1" a="1"/>
  <c r="AD254" i="1" s="1"/>
  <c r="Z255" i="1" s="1"/>
  <c r="AB255" i="1" l="1" a="1"/>
  <c r="AB255" i="1" s="1"/>
  <c r="AD255" i="1" a="1"/>
  <c r="AD255" i="1" s="1"/>
  <c r="Z256" i="1" s="1"/>
  <c r="AC255" i="1" a="1"/>
  <c r="AC255" i="1" s="1"/>
  <c r="Y256" i="1" s="1"/>
  <c r="AB256" i="1" l="1" a="1"/>
  <c r="AB256" i="1" s="1"/>
  <c r="AD256" i="1" a="1"/>
  <c r="AD256" i="1" s="1"/>
  <c r="Z257" i="1" s="1"/>
  <c r="AC256" i="1" a="1"/>
  <c r="AC256" i="1" s="1"/>
  <c r="Y257" i="1" s="1"/>
  <c r="AD257" i="1" l="1" a="1"/>
  <c r="AD257" i="1" s="1"/>
  <c r="Z258" i="1" s="1"/>
  <c r="AC257" i="1" a="1"/>
  <c r="AC257" i="1" s="1"/>
  <c r="Y258" i="1" s="1"/>
  <c r="AB257" i="1" a="1"/>
  <c r="AB257" i="1" s="1"/>
  <c r="AD258" i="1" l="1" a="1"/>
  <c r="AD258" i="1" s="1"/>
  <c r="Z259" i="1" s="1"/>
  <c r="AB258" i="1" a="1"/>
  <c r="AB258" i="1" s="1"/>
  <c r="AC258" i="1" a="1"/>
  <c r="AC258" i="1" s="1"/>
  <c r="Y259" i="1" s="1"/>
  <c r="AD259" i="1" l="1" a="1"/>
  <c r="AD259" i="1" s="1"/>
  <c r="Z260" i="1" s="1"/>
  <c r="AB259" i="1" a="1"/>
  <c r="AB259" i="1" s="1"/>
  <c r="AC259" i="1" a="1"/>
  <c r="AC259" i="1" s="1"/>
  <c r="Y260" i="1" s="1"/>
  <c r="AD260" i="1" l="1" a="1"/>
  <c r="AD260" i="1" s="1"/>
  <c r="Z261" i="1" s="1"/>
  <c r="AC260" i="1" a="1"/>
  <c r="AC260" i="1" s="1"/>
  <c r="Y261" i="1" s="1"/>
  <c r="AB260" i="1" a="1"/>
  <c r="AB260" i="1" s="1"/>
  <c r="AC261" i="1" l="1" a="1"/>
  <c r="AC261" i="1" s="1"/>
  <c r="AD261" i="1" a="1"/>
  <c r="AD261" i="1" s="1"/>
  <c r="Z262" i="1" s="1"/>
  <c r="AB261" i="1" a="1"/>
  <c r="AB261" i="1" s="1"/>
  <c r="Y262" i="1"/>
  <c r="AB262" i="1" l="1" a="1"/>
  <c r="AB262" i="1" s="1"/>
  <c r="AD262" i="1" a="1"/>
  <c r="AD262" i="1" s="1"/>
  <c r="Z263" i="1" s="1"/>
  <c r="AC262" i="1" a="1"/>
  <c r="AC262" i="1" s="1"/>
  <c r="Y263" i="1" s="1"/>
  <c r="AB263" i="1" l="1" a="1"/>
  <c r="AB263" i="1" s="1"/>
  <c r="AC263" i="1" a="1"/>
  <c r="AC263" i="1" s="1"/>
  <c r="Y264" i="1" s="1"/>
  <c r="AD263" i="1" a="1"/>
  <c r="AD263" i="1" s="1"/>
  <c r="Z264" i="1" s="1"/>
  <c r="AB264" i="1" l="1" a="1"/>
  <c r="AB264" i="1" s="1"/>
  <c r="AC264" i="1" a="1"/>
  <c r="AC264" i="1" s="1"/>
  <c r="Y265" i="1" s="1"/>
  <c r="AD264" i="1" a="1"/>
  <c r="AD264" i="1" s="1"/>
  <c r="Z265" i="1" s="1"/>
  <c r="AC265" i="1" l="1" a="1"/>
  <c r="AC265" i="1" s="1"/>
  <c r="Y266" i="1" s="1"/>
  <c r="AB265" i="1" a="1"/>
  <c r="AB265" i="1" s="1"/>
  <c r="AD265" i="1" a="1"/>
  <c r="AD265" i="1" s="1"/>
  <c r="Z266" i="1" s="1"/>
  <c r="AD266" i="1" l="1" a="1"/>
  <c r="AD266" i="1" s="1"/>
  <c r="Z267" i="1" s="1"/>
  <c r="AB266" i="1" a="1"/>
  <c r="AB266" i="1" s="1"/>
  <c r="AC266" i="1" a="1"/>
  <c r="AC266" i="1" s="1"/>
  <c r="Y267" i="1" s="1"/>
  <c r="AD267" i="1" l="1" a="1"/>
  <c r="AD267" i="1" s="1"/>
  <c r="Z268" i="1" s="1"/>
  <c r="AB267" i="1" a="1"/>
  <c r="AB267" i="1" s="1"/>
  <c r="AC267" i="1" a="1"/>
  <c r="AC267" i="1" s="1"/>
  <c r="Y268" i="1" s="1"/>
  <c r="AC268" i="1" l="1" a="1"/>
  <c r="AC268" i="1" s="1"/>
  <c r="Y269" i="1" s="1"/>
  <c r="AB268" i="1" a="1"/>
  <c r="AB268" i="1" s="1"/>
  <c r="AD268" i="1" a="1"/>
  <c r="AD268" i="1" s="1"/>
  <c r="Z269" i="1" s="1"/>
  <c r="AC269" i="1" l="1" a="1"/>
  <c r="AC269" i="1" s="1"/>
  <c r="Y270" i="1" s="1"/>
  <c r="AD269" i="1" a="1"/>
  <c r="AD269" i="1" s="1"/>
  <c r="Z270" i="1" s="1"/>
  <c r="AB269" i="1" a="1"/>
  <c r="AB269" i="1" s="1"/>
  <c r="AC270" i="1" l="1" a="1"/>
  <c r="AC270" i="1" s="1"/>
  <c r="AB270" i="1" a="1"/>
  <c r="AB270" i="1" s="1"/>
  <c r="AD270" i="1" a="1"/>
  <c r="AD270" i="1" s="1"/>
  <c r="Z271" i="1" s="1"/>
  <c r="Y271" i="1"/>
  <c r="AB271" i="1" l="1" a="1"/>
  <c r="AB271" i="1" s="1"/>
  <c r="AC271" i="1" a="1"/>
  <c r="AC271" i="1" s="1"/>
  <c r="Y272" i="1" s="1"/>
  <c r="AD271" i="1" a="1"/>
  <c r="AD271" i="1" s="1"/>
  <c r="Z272" i="1" s="1"/>
  <c r="AB272" i="1" l="1" a="1"/>
  <c r="AB272" i="1" s="1"/>
  <c r="AD272" i="1" a="1"/>
  <c r="AD272" i="1" s="1"/>
  <c r="Z273" i="1" s="1"/>
  <c r="AC272" i="1" a="1"/>
  <c r="AC272" i="1" s="1"/>
  <c r="Y273" i="1" s="1"/>
  <c r="AB273" i="1" l="1" a="1"/>
  <c r="AB273" i="1" s="1"/>
  <c r="AC273" i="1" a="1"/>
  <c r="AC273" i="1" s="1"/>
  <c r="Y274" i="1" s="1"/>
  <c r="AD273" i="1" a="1"/>
  <c r="AD273" i="1" s="1"/>
  <c r="Z274" i="1" s="1"/>
  <c r="AD274" i="1" l="1" a="1"/>
  <c r="AD274" i="1" s="1"/>
  <c r="Z275" i="1" s="1"/>
  <c r="AB274" i="1" a="1"/>
  <c r="AB274" i="1" s="1"/>
  <c r="AC274" i="1" a="1"/>
  <c r="AC274" i="1" s="1"/>
  <c r="Y275" i="1" s="1"/>
  <c r="AC275" i="1" l="1" a="1"/>
  <c r="AC275" i="1" s="1"/>
  <c r="Y276" i="1" s="1"/>
  <c r="AD275" i="1" a="1"/>
  <c r="AD275" i="1" s="1"/>
  <c r="Z276" i="1" s="1"/>
  <c r="AB275" i="1" a="1"/>
  <c r="AB275" i="1" s="1"/>
  <c r="AC276" i="1" l="1" a="1"/>
  <c r="AC276" i="1" s="1"/>
  <c r="Y277" i="1" s="1"/>
  <c r="AB276" i="1" a="1"/>
  <c r="AB276" i="1" s="1"/>
  <c r="AD276" i="1" a="1"/>
  <c r="AD276" i="1" s="1"/>
  <c r="Z277" i="1" s="1"/>
  <c r="AC277" i="1" l="1" a="1"/>
  <c r="AC277" i="1" s="1"/>
  <c r="Y278" i="1" s="1"/>
  <c r="AB277" i="1" a="1"/>
  <c r="AB277" i="1" s="1"/>
  <c r="AD277" i="1" a="1"/>
  <c r="AD277" i="1" s="1"/>
  <c r="Z278" i="1" s="1"/>
  <c r="AD278" i="1" l="1" a="1"/>
  <c r="AD278" i="1" s="1"/>
  <c r="Z279" i="1" s="1"/>
  <c r="AC278" i="1" a="1"/>
  <c r="AC278" i="1" s="1"/>
  <c r="AB278" i="1" a="1"/>
  <c r="AB278" i="1" s="1"/>
  <c r="Y279" i="1"/>
  <c r="AB279" i="1" l="1" a="1"/>
  <c r="AB279" i="1" s="1"/>
  <c r="AD279" i="1" a="1"/>
  <c r="AD279" i="1" s="1"/>
  <c r="Z280" i="1" s="1"/>
  <c r="AC279" i="1" a="1"/>
  <c r="AC279" i="1" s="1"/>
  <c r="Y280" i="1" s="1"/>
  <c r="AD280" i="1" l="1" a="1"/>
  <c r="AD280" i="1" s="1"/>
  <c r="AB280" i="1" a="1"/>
  <c r="AB280" i="1" s="1"/>
  <c r="AC280" i="1" a="1"/>
  <c r="AC280" i="1" s="1"/>
  <c r="Y281" i="1" s="1"/>
  <c r="Z281" i="1"/>
  <c r="AB281" i="1" l="1" a="1"/>
  <c r="AB281" i="1" s="1"/>
  <c r="AD281" i="1" a="1"/>
  <c r="AD281" i="1" s="1"/>
  <c r="Z282" i="1" s="1"/>
  <c r="AC281" i="1" a="1"/>
  <c r="AC281" i="1" s="1"/>
  <c r="Y282" i="1" s="1"/>
  <c r="AB282" i="1" l="1" a="1"/>
  <c r="AB282" i="1" s="1"/>
  <c r="AD282" i="1" a="1"/>
  <c r="AD282" i="1" s="1"/>
  <c r="Z283" i="1" s="1"/>
  <c r="AC282" i="1" a="1"/>
  <c r="AC282" i="1" s="1"/>
  <c r="Y283" i="1" s="1"/>
  <c r="AD283" i="1" l="1" a="1"/>
  <c r="AD283" i="1" s="1"/>
  <c r="AC283" i="1" a="1"/>
  <c r="AC283" i="1" s="1"/>
  <c r="Y284" i="1" s="1"/>
  <c r="AB283" i="1" a="1"/>
  <c r="AB283" i="1" s="1"/>
  <c r="Z284" i="1"/>
  <c r="AD284" i="1" l="1" a="1"/>
  <c r="AD284" i="1" s="1"/>
  <c r="AB284" i="1" a="1"/>
  <c r="AB284" i="1" s="1"/>
  <c r="AC284" i="1" a="1"/>
  <c r="AC284" i="1" s="1"/>
  <c r="Y285" i="1" s="1"/>
  <c r="Z285" i="1"/>
  <c r="AC285" i="1" l="1" a="1"/>
  <c r="AC285" i="1" s="1"/>
  <c r="Y286" i="1" s="1"/>
  <c r="AD285" i="1" a="1"/>
  <c r="AD285" i="1" s="1"/>
  <c r="Z286" i="1" s="1"/>
  <c r="AB285" i="1" a="1"/>
  <c r="AB285" i="1" s="1"/>
  <c r="AB286" i="1" l="1" a="1"/>
  <c r="AB286" i="1" s="1"/>
  <c r="AC286" i="1" a="1"/>
  <c r="AC286" i="1" s="1"/>
  <c r="Y287" i="1" s="1"/>
  <c r="AD286" i="1" a="1"/>
  <c r="AD286" i="1" s="1"/>
  <c r="Z287" i="1" s="1"/>
  <c r="AB287" i="1" l="1" a="1"/>
  <c r="AB287" i="1" s="1"/>
  <c r="AD287" i="1" a="1"/>
  <c r="AD287" i="1" s="1"/>
  <c r="Z288" i="1" s="1"/>
  <c r="AC287" i="1" a="1"/>
  <c r="AC287" i="1" s="1"/>
  <c r="Y288" i="1" s="1"/>
  <c r="AB288" i="1" l="1" a="1"/>
  <c r="AB288" i="1" s="1"/>
  <c r="AD288" i="1" a="1"/>
  <c r="AD288" i="1" s="1"/>
  <c r="Z289" i="1" s="1"/>
  <c r="AC288" i="1" a="1"/>
  <c r="AC288" i="1" s="1"/>
  <c r="Y289" i="1" s="1"/>
  <c r="AD289" i="1" l="1" a="1"/>
  <c r="AD289" i="1" s="1"/>
  <c r="Z290" i="1" s="1"/>
  <c r="AB289" i="1" a="1"/>
  <c r="AB289" i="1" s="1"/>
  <c r="AC289" i="1" a="1"/>
  <c r="AC289" i="1" s="1"/>
  <c r="Y290" i="1" s="1"/>
  <c r="AD290" i="1" l="1" a="1"/>
  <c r="AD290" i="1" s="1"/>
  <c r="Z291" i="1" s="1"/>
  <c r="AB290" i="1" a="1"/>
  <c r="AB290" i="1" s="1"/>
  <c r="AC290" i="1" a="1"/>
  <c r="AC290" i="1" s="1"/>
  <c r="Y291" i="1" s="1"/>
  <c r="AD291" i="1" l="1" a="1"/>
  <c r="AD291" i="1" s="1"/>
  <c r="Z292" i="1" s="1"/>
  <c r="AC291" i="1" a="1"/>
  <c r="AC291" i="1" s="1"/>
  <c r="Y292" i="1" s="1"/>
  <c r="AB291" i="1" a="1"/>
  <c r="AB291" i="1" s="1"/>
  <c r="AB292" i="1" l="1" a="1"/>
  <c r="AB292" i="1" s="1"/>
  <c r="AC292" i="1" a="1"/>
  <c r="AC292" i="1" s="1"/>
  <c r="Y293" i="1" s="1"/>
  <c r="AD292" i="1" a="1"/>
  <c r="AD292" i="1" s="1"/>
  <c r="Z293" i="1" s="1"/>
  <c r="AC293" i="1" l="1" a="1"/>
  <c r="AC293" i="1" s="1"/>
  <c r="AD293" i="1" a="1"/>
  <c r="AD293" i="1" s="1"/>
  <c r="Z294" i="1" s="1"/>
  <c r="Y294" i="1"/>
  <c r="AB293" i="1" a="1"/>
  <c r="AB293" i="1" s="1"/>
  <c r="AB294" i="1" l="1" a="1"/>
  <c r="AB294" i="1" s="1"/>
  <c r="AC294" i="1" a="1"/>
  <c r="AC294" i="1" s="1"/>
  <c r="Y295" i="1" s="1"/>
  <c r="AD294" i="1" a="1"/>
  <c r="AD294" i="1" s="1"/>
  <c r="Z295" i="1" s="1"/>
  <c r="AB295" i="1" l="1" a="1"/>
  <c r="AB295" i="1" s="1"/>
  <c r="AD295" i="1" a="1"/>
  <c r="AD295" i="1" s="1"/>
  <c r="Z296" i="1" s="1"/>
  <c r="AC295" i="1" a="1"/>
  <c r="AC295" i="1" s="1"/>
  <c r="Y296" i="1" s="1"/>
  <c r="AD296" i="1" l="1" a="1"/>
  <c r="AD296" i="1" s="1"/>
  <c r="Z297" i="1" s="1"/>
  <c r="AB296" i="1" a="1"/>
  <c r="AB296" i="1" s="1"/>
  <c r="AC296" i="1" a="1"/>
  <c r="AC296" i="1" s="1"/>
  <c r="Y297" i="1" s="1"/>
  <c r="AD297" i="1" l="1" a="1"/>
  <c r="AD297" i="1" s="1"/>
  <c r="Z298" i="1" s="1"/>
  <c r="AB297" i="1" a="1"/>
  <c r="AB297" i="1" s="1"/>
  <c r="AC297" i="1" a="1"/>
  <c r="AC297" i="1" s="1"/>
  <c r="Y298" i="1" s="1"/>
  <c r="AB298" i="1" l="1" a="1"/>
  <c r="AB298" i="1" s="1"/>
  <c r="AC298" i="1" a="1"/>
  <c r="AC298" i="1" s="1"/>
  <c r="Y299" i="1" s="1"/>
  <c r="AD298" i="1" a="1"/>
  <c r="AD298" i="1" s="1"/>
  <c r="Z299" i="1" s="1"/>
  <c r="AB299" i="1" l="1" a="1"/>
  <c r="AB299" i="1" s="1"/>
  <c r="AD299" i="1" a="1"/>
  <c r="AD299" i="1" s="1"/>
  <c r="Z300" i="1" s="1"/>
  <c r="AC299" i="1" a="1"/>
  <c r="AC299" i="1" s="1"/>
  <c r="Y300" i="1" s="1"/>
  <c r="AC300" i="1" l="1" a="1"/>
  <c r="AC300" i="1" s="1"/>
  <c r="AB300" i="1" a="1"/>
  <c r="AB300" i="1" s="1"/>
  <c r="Y301" i="1"/>
  <c r="AD300" i="1" a="1"/>
  <c r="AD300" i="1" s="1"/>
  <c r="Z301" i="1" s="1"/>
  <c r="AC301" i="1" l="1" a="1"/>
  <c r="AC301" i="1" s="1"/>
  <c r="AB301" i="1" a="1"/>
  <c r="AB301" i="1" s="1"/>
  <c r="AD301" i="1" a="1"/>
  <c r="AD301" i="1" s="1"/>
  <c r="Z302" i="1" s="1"/>
  <c r="Y302" i="1"/>
  <c r="AB302" i="1" l="1" a="1"/>
  <c r="AB302" i="1" s="1"/>
  <c r="AD302" i="1" a="1"/>
  <c r="AD302" i="1" s="1"/>
  <c r="Z303" i="1" s="1"/>
  <c r="AC302" i="1" a="1"/>
  <c r="AC302" i="1" s="1"/>
  <c r="Y303" i="1" s="1"/>
  <c r="AB303" i="1" l="1" a="1"/>
  <c r="AB303" i="1" s="1"/>
  <c r="AC303" i="1" a="1"/>
  <c r="AC303" i="1" s="1"/>
  <c r="Y304" i="1" s="1"/>
  <c r="AD303" i="1" a="1"/>
  <c r="AD303" i="1" s="1"/>
  <c r="Z304" i="1" s="1"/>
  <c r="AD304" i="1" l="1" a="1"/>
  <c r="AD304" i="1" s="1"/>
  <c r="Z305" i="1" s="1"/>
  <c r="AB304" i="1" a="1"/>
  <c r="AB304" i="1" s="1"/>
  <c r="AC304" i="1" a="1"/>
  <c r="AC304" i="1" s="1"/>
  <c r="Y305" i="1" s="1"/>
  <c r="AD305" i="1" l="1" a="1"/>
  <c r="AD305" i="1" s="1"/>
  <c r="Z306" i="1" s="1"/>
  <c r="AB305" i="1" a="1"/>
  <c r="AB305" i="1" s="1"/>
  <c r="AC305" i="1" a="1"/>
  <c r="AC305" i="1" s="1"/>
  <c r="Y306" i="1" s="1"/>
  <c r="E12" i="1" l="1"/>
  <c r="E4" i="1"/>
  <c r="E11" i="1"/>
  <c r="E3" i="1"/>
  <c r="E10" i="1"/>
  <c r="E9" i="1"/>
  <c r="E7" i="1"/>
  <c r="E5" i="1"/>
  <c r="E8" i="1"/>
  <c r="E6" i="1"/>
  <c r="AC306" i="1" a="1"/>
  <c r="AC306" i="1" s="1"/>
  <c r="AD306" i="1" a="1"/>
  <c r="AD306" i="1" s="1"/>
  <c r="AB306" i="1" a="1"/>
  <c r="AB306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<sst xmlns="http://schemas.openxmlformats.org/spreadsheetml/2006/main" count="17" uniqueCount="15">
  <si>
    <t>x</t>
  </si>
  <si>
    <t>y</t>
  </si>
  <si>
    <t>X</t>
    <phoneticPr fontId="1" type="noConversion"/>
  </si>
  <si>
    <t>Y</t>
    <phoneticPr fontId="1" type="noConversion"/>
  </si>
  <si>
    <t>X^T</t>
    <phoneticPr fontId="1" type="noConversion"/>
  </si>
  <si>
    <t>(X^TX)^-1</t>
    <phoneticPr fontId="1" type="noConversion"/>
  </si>
  <si>
    <t>X^TY</t>
    <phoneticPr fontId="1" type="noConversion"/>
  </si>
  <si>
    <t>w0</t>
    <phoneticPr fontId="1" type="noConversion"/>
  </si>
  <si>
    <t>w1</t>
    <phoneticPr fontId="1" type="noConversion"/>
  </si>
  <si>
    <t>loss(x,y)</t>
    <phoneticPr fontId="1" type="noConversion"/>
  </si>
  <si>
    <t>Alpha</t>
  </si>
  <si>
    <t>J/w0</t>
    <phoneticPr fontId="1" type="noConversion"/>
  </si>
  <si>
    <t>J/w1</t>
    <phoneticPr fontId="1" type="noConversion"/>
  </si>
  <si>
    <t>Gredient</t>
    <phoneticPr fontId="1" type="noConversion"/>
  </si>
  <si>
    <t>Least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</si>
</sst>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0.0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2" fontId="0" fillId="0" borderId="0" xfId="0" applyNumberFormat="1">
      <alignment vertical="center"/>
    </xf>
    <xf numFmtId="177" fontId="0" fillId="0" borderId="0" xfId="0" applyNumberFormat="1">
      <alignment vertical="center"/>
    </xf>
    <xf numFmtId="177" fontId="2" fillId="0" borderId="0" xfId="0" applyNumberFormat="1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Sheet1!$C$2</c:f>
              <c:strCache>
                <c:ptCount val="1"/>
                <c:pt idx="0">
                  <c:v>y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Sheet1!$B$3:$B$12</c:f>
              <c:numCache>
                <c:formatCode>0.0</c:formatCode>
                <c:ptCount val="10"/>
                <c:pt idx="0">
                  <c:v>2.4</c:v>
                </c:pt>
                <c:pt idx="1">
                  <c:v>4.0999999999999996</c:v>
                </c:pt>
                <c:pt idx="2">
                  <c:v>6.8</c:v>
                </c:pt>
                <c:pt idx="3">
                  <c:v>1.5</c:v>
                </c:pt>
                <c:pt idx="4">
                  <c:v>9.1999999999999993</c:v>
                </c:pt>
                <c:pt idx="5">
                  <c:v>5.5</c:v>
                </c:pt>
                <c:pt idx="6">
                  <c:v>8</c:v>
                </c:pt>
                <c:pt idx="7">
                  <c:v>3.7</c:v>
                </c:pt>
                <c:pt idx="8">
                  <c:v>10</c:v>
                </c:pt>
                <c:pt idx="9">
                  <c:v>0.8</c:v>
                </c:pt>
              </c:numCache>
            </c:numRef>
          </c:xVal>
          <c:yVal>
            <c:numRef>
              <c:f>Sheet1!$C$3:$C$12</c:f>
              <c:numCache>
                <c:formatCode>0.0</c:formatCode>
                <c:ptCount val="10"/>
                <c:pt idx="0">
                  <c:v>15.3</c:v>
                </c:pt>
                <c:pt idx="1">
                  <c:v>8.6999999999999993</c:v>
                </c:pt>
                <c:pt idx="2">
                  <c:v>22.1</c:v>
                </c:pt>
                <c:pt idx="3">
                  <c:v>5.4</c:v>
                </c:pt>
                <c:pt idx="4">
                  <c:v>18.899999999999999</c:v>
                </c:pt>
                <c:pt idx="5">
                  <c:v>12.6</c:v>
                </c:pt>
                <c:pt idx="6">
                  <c:v>27.3</c:v>
                </c:pt>
                <c:pt idx="7">
                  <c:v>10.199999999999999</c:v>
                </c:pt>
                <c:pt idx="8">
                  <c:v>31.5</c:v>
                </c:pt>
                <c:pt idx="9">
                  <c:v>4.2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CCF-4AB9-9715-C38D865F0460}"/>
            </c:ext>
          </c:extLst>
        </c:ser>
        <c:ser>
          <c:idx val="1"/>
          <c:order val="1"/>
          <c:tx>
            <c:strRef>
              <c:f>Sheet1!$D$2</c:f>
              <c:strCache>
                <c:ptCount val="1"/>
                <c:pt idx="0">
                  <c:v>Least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Sheet1!$B$3:$B$12</c:f>
              <c:numCache>
                <c:formatCode>0.0</c:formatCode>
                <c:ptCount val="10"/>
                <c:pt idx="0">
                  <c:v>2.4</c:v>
                </c:pt>
                <c:pt idx="1">
                  <c:v>4.0999999999999996</c:v>
                </c:pt>
                <c:pt idx="2">
                  <c:v>6.8</c:v>
                </c:pt>
                <c:pt idx="3">
                  <c:v>1.5</c:v>
                </c:pt>
                <c:pt idx="4">
                  <c:v>9.1999999999999993</c:v>
                </c:pt>
                <c:pt idx="5">
                  <c:v>5.5</c:v>
                </c:pt>
                <c:pt idx="6">
                  <c:v>8</c:v>
                </c:pt>
                <c:pt idx="7">
                  <c:v>3.7</c:v>
                </c:pt>
                <c:pt idx="8">
                  <c:v>10</c:v>
                </c:pt>
                <c:pt idx="9">
                  <c:v>0.8</c:v>
                </c:pt>
              </c:numCache>
            </c:numRef>
          </c:xVal>
          <c:yVal>
            <c:numRef>
              <c:f>Sheet1!$D$3:$D$12</c:f>
              <c:numCache>
                <c:formatCode>0.0</c:formatCode>
                <c:ptCount val="10"/>
                <c:pt idx="0">
                  <c:v>8.5749637835534607</c:v>
                </c:pt>
                <c:pt idx="1">
                  <c:v>12.852307200681709</c:v>
                </c:pt>
                <c:pt idx="2">
                  <c:v>19.645734980826575</c:v>
                </c:pt>
                <c:pt idx="3">
                  <c:v>6.3104878568385061</c:v>
                </c:pt>
                <c:pt idx="4">
                  <c:v>25.684337452066455</c:v>
                </c:pt>
                <c:pt idx="5">
                  <c:v>16.374825308904974</c:v>
                </c:pt>
                <c:pt idx="6">
                  <c:v>22.665036216446516</c:v>
                </c:pt>
                <c:pt idx="7">
                  <c:v>11.845873455475063</c:v>
                </c:pt>
                <c:pt idx="8">
                  <c:v>27.69720494247975</c:v>
                </c:pt>
                <c:pt idx="9">
                  <c:v>4.5492288027268746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CCF-4AB9-9715-C38D865F0460}"/>
            </c:ext>
          </c:extLst>
        </c:ser>
        <c:ser>
          <c:idx val="2"/>
          <c:order val="2"/>
          <c:tx>
            <c:strRef>
              <c:f>Sheet1!$E$2</c:f>
              <c:strCache>
                <c:ptCount val="1"/>
                <c:pt idx="0">
                  <c:v>Gredient</c:v>
                </c:pt>
              </c:strCache>
            </c:strRef>
          </c:tx>
          <c:spPr>
            <a:ln w="1270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Sheet1!$B$3:$B$12</c:f>
              <c:numCache>
                <c:formatCode>0.0</c:formatCode>
                <c:ptCount val="10"/>
                <c:pt idx="0">
                  <c:v>2.4</c:v>
                </c:pt>
                <c:pt idx="1">
                  <c:v>4.0999999999999996</c:v>
                </c:pt>
                <c:pt idx="2">
                  <c:v>6.8</c:v>
                </c:pt>
                <c:pt idx="3">
                  <c:v>1.5</c:v>
                </c:pt>
                <c:pt idx="4">
                  <c:v>9.1999999999999993</c:v>
                </c:pt>
                <c:pt idx="5">
                  <c:v>5.5</c:v>
                </c:pt>
                <c:pt idx="6">
                  <c:v>8</c:v>
                </c:pt>
                <c:pt idx="7">
                  <c:v>3.7</c:v>
                </c:pt>
                <c:pt idx="8">
                  <c:v>10</c:v>
                </c:pt>
                <c:pt idx="9">
                  <c:v>0.8</c:v>
                </c:pt>
              </c:numCache>
            </c:numRef>
          </c:xVal>
          <c:yVal>
            <c:numRef>
              <c:f>Sheet1!$E$3:$E$12</c:f>
              <c:numCache>
                <c:formatCode>0.0</c:formatCode>
                <c:ptCount val="10"/>
                <c:pt idx="0">
                  <c:v>8.4356351277399391</c:v>
                </c:pt>
                <c:pt idx="1">
                  <c:v>12.764957485483723</c:v>
                </c:pt>
                <c:pt idx="2">
                  <c:v>19.640940053665027</c:v>
                </c:pt>
                <c:pt idx="3">
                  <c:v>6.143640938346171</c:v>
                </c:pt>
                <c:pt idx="4">
                  <c:v>25.752924558715073</c:v>
                </c:pt>
                <c:pt idx="5">
                  <c:v>16.33028178009625</c:v>
                </c:pt>
                <c:pt idx="6">
                  <c:v>22.69693230619005</c:v>
                </c:pt>
                <c:pt idx="7">
                  <c:v>11.746293401308716</c:v>
                </c:pt>
                <c:pt idx="8">
                  <c:v>27.790252727065088</c:v>
                </c:pt>
                <c:pt idx="9">
                  <c:v>4.3609787910399067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CCF-4AB9-9715-C38D865F04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6540863"/>
        <c:axId val="2136594143"/>
      </c:scatterChart>
      <c:valAx>
        <c:axId val="21365408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136594143"/>
        <c:crosses val="autoZero"/>
        <c:crossBetween val="midCat"/>
      </c:valAx>
      <c:valAx>
        <c:axId val="2136594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1365408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Sheet1!$AB$2</c:f>
              <c:strCache>
                <c:ptCount val="1"/>
                <c:pt idx="0">
                  <c:v>loss(x,y)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Sheet1!$AB$3:$AB$306</c:f>
              <c:numCache>
                <c:formatCode>0.0</c:formatCode>
                <c:ptCount val="304"/>
                <c:pt idx="0">
                  <c:v>320.25400000000002</c:v>
                </c:pt>
                <c:pt idx="1">
                  <c:v>22.005214368430003</c:v>
                </c:pt>
                <c:pt idx="2">
                  <c:v>18.025580137924646</c:v>
                </c:pt>
                <c:pt idx="3">
                  <c:v>17.955805459354572</c:v>
                </c:pt>
                <c:pt idx="4">
                  <c:v>17.938231513854795</c:v>
                </c:pt>
                <c:pt idx="5">
                  <c:v>17.921602374425117</c:v>
                </c:pt>
                <c:pt idx="6">
                  <c:v>17.905233272252374</c:v>
                </c:pt>
                <c:pt idx="7">
                  <c:v>17.889111373969772</c:v>
                </c:pt>
                <c:pt idx="8">
                  <c:v>17.873232829797278</c:v>
                </c:pt>
                <c:pt idx="9">
                  <c:v>17.857593964845972</c:v>
                </c:pt>
                <c:pt idx="10">
                  <c:v>17.842191161249186</c:v>
                </c:pt>
                <c:pt idx="11">
                  <c:v>17.827020855770865</c:v>
                </c:pt>
                <c:pt idx="12">
                  <c:v>17.812079538960628</c:v>
                </c:pt>
                <c:pt idx="13">
                  <c:v>17.797363754341585</c:v>
                </c:pt>
                <c:pt idx="14">
                  <c:v>17.782870097610765</c:v>
                </c:pt>
                <c:pt idx="15">
                  <c:v>17.768595215851558</c:v>
                </c:pt>
                <c:pt idx="16">
                  <c:v>17.754535806758053</c:v>
                </c:pt>
                <c:pt idx="17">
                  <c:v>17.740688617871118</c:v>
                </c:pt>
                <c:pt idx="18">
                  <c:v>17.727050445825945</c:v>
                </c:pt>
                <c:pt idx="19">
                  <c:v>17.713618135611064</c:v>
                </c:pt>
                <c:pt idx="20">
                  <c:v>17.700388579838371</c:v>
                </c:pt>
                <c:pt idx="21">
                  <c:v>17.687358718024381</c:v>
                </c:pt>
                <c:pt idx="22">
                  <c:v>17.674525535882154</c:v>
                </c:pt>
                <c:pt idx="23">
                  <c:v>17.661886064624003</c:v>
                </c:pt>
                <c:pt idx="24">
                  <c:v>17.649437380274705</c:v>
                </c:pt>
                <c:pt idx="25">
                  <c:v>17.637176602995073</c:v>
                </c:pt>
                <c:pt idx="26">
                  <c:v>17.625100896415766</c:v>
                </c:pt>
                <c:pt idx="27">
                  <c:v>17.61320746698107</c:v>
                </c:pt>
                <c:pt idx="28">
                  <c:v>17.601493563302739</c:v>
                </c:pt>
                <c:pt idx="29">
                  <c:v>17.589956475523405</c:v>
                </c:pt>
                <c:pt idx="30">
                  <c:v>17.578593534689752</c:v>
                </c:pt>
                <c:pt idx="31">
                  <c:v>17.56740211213506</c:v>
                </c:pt>
                <c:pt idx="32">
                  <c:v>17.556379618871087</c:v>
                </c:pt>
                <c:pt idx="33">
                  <c:v>17.545523504989212</c:v>
                </c:pt>
                <c:pt idx="34">
                  <c:v>17.534831259070415</c:v>
                </c:pt>
                <c:pt idx="35">
                  <c:v>17.524300407604436</c:v>
                </c:pt>
                <c:pt idx="36">
                  <c:v>17.513928514417479</c:v>
                </c:pt>
                <c:pt idx="37">
                  <c:v>17.50371318010863</c:v>
                </c:pt>
                <c:pt idx="38">
                  <c:v>17.493652041494819</c:v>
                </c:pt>
                <c:pt idx="39">
                  <c:v>17.48374277106414</c:v>
                </c:pt>
                <c:pt idx="40">
                  <c:v>17.473983076437381</c:v>
                </c:pt>
                <c:pt idx="41">
                  <c:v>17.464370699837701</c:v>
                </c:pt>
                <c:pt idx="42">
                  <c:v>17.454903417568385</c:v>
                </c:pt>
                <c:pt idx="43">
                  <c:v>17.445579039498337</c:v>
                </c:pt>
                <c:pt idx="44">
                  <c:v>17.436395408555502</c:v>
                </c:pt>
                <c:pt idx="45">
                  <c:v>17.42735040022778</c:v>
                </c:pt>
                <c:pt idx="46">
                  <c:v>17.418441922071636</c:v>
                </c:pt>
                <c:pt idx="47">
                  <c:v>17.40966791322796</c:v>
                </c:pt>
                <c:pt idx="48">
                  <c:v>17.401026343945347</c:v>
                </c:pt>
                <c:pt idx="49">
                  <c:v>17.39251521511056</c:v>
                </c:pt>
                <c:pt idx="50">
                  <c:v>17.384132557786003</c:v>
                </c:pt>
                <c:pt idx="51">
                  <c:v>17.375876432754325</c:v>
                </c:pt>
                <c:pt idx="52">
                  <c:v>17.367744930069716</c:v>
                </c:pt>
                <c:pt idx="53">
                  <c:v>17.359736168616116</c:v>
                </c:pt>
                <c:pt idx="54">
                  <c:v>17.351848295672031</c:v>
                </c:pt>
                <c:pt idx="55">
                  <c:v>17.344079486481931</c:v>
                </c:pt>
                <c:pt idx="56">
                  <c:v>17.336427943834135</c:v>
                </c:pt>
                <c:pt idx="57">
                  <c:v>17.328891897645004</c:v>
                </c:pt>
                <c:pt idx="58">
                  <c:v>17.321469604549492</c:v>
                </c:pt>
                <c:pt idx="59">
                  <c:v>17.314159347497849</c:v>
                </c:pt>
                <c:pt idx="60">
                  <c:v>17.306959435358369</c:v>
                </c:pt>
                <c:pt idx="61">
                  <c:v>17.299868202526206</c:v>
                </c:pt>
                <c:pt idx="62">
                  <c:v>17.292884008538024</c:v>
                </c:pt>
                <c:pt idx="63">
                  <c:v>17.286005237692518</c:v>
                </c:pt>
                <c:pt idx="64">
                  <c:v>17.279230298676648</c:v>
                </c:pt>
                <c:pt idx="65">
                  <c:v>17.272557624197486</c:v>
                </c:pt>
                <c:pt idx="66">
                  <c:v>17.265985670619681</c:v>
                </c:pt>
                <c:pt idx="67">
                  <c:v>17.259512917608301</c:v>
                </c:pt>
                <c:pt idx="68">
                  <c:v>17.253137867777198</c:v>
                </c:pt>
                <c:pt idx="69">
                  <c:v>17.246859046342536</c:v>
                </c:pt>
                <c:pt idx="70">
                  <c:v>17.24067500078166</c:v>
                </c:pt>
                <c:pt idx="71">
                  <c:v>17.234584300497083</c:v>
                </c:pt>
                <c:pt idx="72">
                  <c:v>17.228585536485493</c:v>
                </c:pt>
                <c:pt idx="73">
                  <c:v>17.222677321011847</c:v>
                </c:pt>
                <c:pt idx="74">
                  <c:v>17.216858287288286</c:v>
                </c:pt>
                <c:pt idx="75">
                  <c:v>17.211127089158001</c:v>
                </c:pt>
                <c:pt idx="76">
                  <c:v>17.205482400783783</c:v>
                </c:pt>
                <c:pt idx="77">
                  <c:v>17.199922916341304</c:v>
                </c:pt>
                <c:pt idx="78">
                  <c:v>17.194447349717063</c:v>
                </c:pt>
                <c:pt idx="79">
                  <c:v>17.189054434210824</c:v>
                </c:pt>
                <c:pt idx="80">
                  <c:v>17.183742922242608</c:v>
                </c:pt>
                <c:pt idx="81">
                  <c:v>17.178511585064069</c:v>
                </c:pt>
                <c:pt idx="82">
                  <c:v>17.173359212474242</c:v>
                </c:pt>
                <c:pt idx="83">
                  <c:v>17.168284612539594</c:v>
                </c:pt>
                <c:pt idx="84">
                  <c:v>17.163286611318242</c:v>
                </c:pt>
                <c:pt idx="85">
                  <c:v>17.158364052588432</c:v>
                </c:pt>
                <c:pt idx="86">
                  <c:v>17.153515797581012</c:v>
                </c:pt>
                <c:pt idx="87">
                  <c:v>17.148740724716074</c:v>
                </c:pt>
                <c:pt idx="88">
                  <c:v>17.144037729343363</c:v>
                </c:pt>
                <c:pt idx="89">
                  <c:v>17.139405723486835</c:v>
                </c:pt>
                <c:pt idx="90">
                  <c:v>17.134843635592951</c:v>
                </c:pt>
                <c:pt idx="91">
                  <c:v>17.130350410282741</c:v>
                </c:pt>
                <c:pt idx="92">
                  <c:v>17.125925008107711</c:v>
                </c:pt>
                <c:pt idx="93">
                  <c:v>17.121566405309352</c:v>
                </c:pt>
                <c:pt idx="94">
                  <c:v>17.117273593582294</c:v>
                </c:pt>
                <c:pt idx="95">
                  <c:v>17.113045579841081</c:v>
                </c:pt>
                <c:pt idx="96">
                  <c:v>17.108881385990419</c:v>
                </c:pt>
                <c:pt idx="97">
                  <c:v>17.104780048698895</c:v>
                </c:pt>
                <c:pt idx="98">
                  <c:v>17.100740619176143</c:v>
                </c:pt>
                <c:pt idx="99">
                  <c:v>17.096762162953336</c:v>
                </c:pt>
                <c:pt idx="100">
                  <c:v>17.092843759667023</c:v>
                </c:pt>
                <c:pt idx="101">
                  <c:v>17.088984502846202</c:v>
                </c:pt>
                <c:pt idx="102">
                  <c:v>17.085183499702634</c:v>
                </c:pt>
                <c:pt idx="103">
                  <c:v>17.081439870924306</c:v>
                </c:pt>
                <c:pt idx="104">
                  <c:v>17.077752750471983</c:v>
                </c:pt>
                <c:pt idx="105">
                  <c:v>17.074121285378915</c:v>
                </c:pt>
                <c:pt idx="106">
                  <c:v>17.070544635553482</c:v>
                </c:pt>
                <c:pt idx="107">
                  <c:v>17.06702197358484</c:v>
                </c:pt>
                <c:pt idx="108">
                  <c:v>17.063552484551547</c:v>
                </c:pt>
                <c:pt idx="109">
                  <c:v>17.060135365832988</c:v>
                </c:pt>
                <c:pt idx="110">
                  <c:v>17.056769826923766</c:v>
                </c:pt>
                <c:pt idx="111">
                  <c:v>17.053455089250757</c:v>
                </c:pt>
                <c:pt idx="112">
                  <c:v>17.050190385993066</c:v>
                </c:pt>
                <c:pt idx="113">
                  <c:v>17.046974961904581</c:v>
                </c:pt>
                <c:pt idx="114">
                  <c:v>17.043808073139296</c:v>
                </c:pt>
                <c:pt idx="115">
                  <c:v>17.040688987079193</c:v>
                </c:pt>
                <c:pt idx="116">
                  <c:v>17.037616982164781</c:v>
                </c:pt>
                <c:pt idx="117">
                  <c:v>17.034591347728195</c:v>
                </c:pt>
                <c:pt idx="118">
                  <c:v>17.031611383828743</c:v>
                </c:pt>
                <c:pt idx="119">
                  <c:v>17.02867640109103</c:v>
                </c:pt>
                <c:pt idx="120">
                  <c:v>17.025785720545436</c:v>
                </c:pt>
                <c:pt idx="121">
                  <c:v>17.022938673471089</c:v>
                </c:pt>
                <c:pt idx="122">
                  <c:v>17.020134601241157</c:v>
                </c:pt>
                <c:pt idx="123">
                  <c:v>17.017372855170436</c:v>
                </c:pt>
                <c:pt idx="124">
                  <c:v>17.014652796365361</c:v>
                </c:pt>
                <c:pt idx="125">
                  <c:v>17.01197379557615</c:v>
                </c:pt>
                <c:pt idx="126">
                  <c:v>17.009335233051228</c:v>
                </c:pt>
                <c:pt idx="127">
                  <c:v>17.006736498393927</c:v>
                </c:pt>
                <c:pt idx="128">
                  <c:v>17.00417699042119</c:v>
                </c:pt>
                <c:pt idx="129">
                  <c:v>17.00165611702457</c:v>
                </c:pt>
                <c:pt idx="130">
                  <c:v>16.999173295033199</c:v>
                </c:pt>
                <c:pt idx="131">
                  <c:v>16.996727950078899</c:v>
                </c:pt>
                <c:pt idx="132">
                  <c:v>16.994319516463321</c:v>
                </c:pt>
                <c:pt idx="133">
                  <c:v>16.991947437027072</c:v>
                </c:pt>
                <c:pt idx="134">
                  <c:v>16.989611163020808</c:v>
                </c:pt>
                <c:pt idx="135">
                  <c:v>16.987310153978306</c:v>
                </c:pt>
                <c:pt idx="136">
                  <c:v>16.985043877591433</c:v>
                </c:pt>
                <c:pt idx="137">
                  <c:v>16.982811809586984</c:v>
                </c:pt>
                <c:pt idx="138">
                  <c:v>16.980613433605413</c:v>
                </c:pt>
                <c:pt idx="139">
                  <c:v>16.978448241081416</c:v>
                </c:pt>
                <c:pt idx="140">
                  <c:v>16.976315731126185</c:v>
                </c:pt>
                <c:pt idx="141">
                  <c:v>16.974215410411638</c:v>
                </c:pt>
                <c:pt idx="142">
                  <c:v>16.97214679305625</c:v>
                </c:pt>
                <c:pt idx="143">
                  <c:v>16.970109400512612</c:v>
                </c:pt>
                <c:pt idx="144">
                  <c:v>16.968102761456809</c:v>
                </c:pt>
                <c:pt idx="145">
                  <c:v>16.966126411679326</c:v>
                </c:pt>
                <c:pt idx="146">
                  <c:v>16.964179893977654</c:v>
                </c:pt>
                <c:pt idx="147">
                  <c:v>16.962262758050556</c:v>
                </c:pt>
                <c:pt idx="148">
                  <c:v>16.960374560393898</c:v>
                </c:pt>
                <c:pt idx="149">
                  <c:v>16.958514864198012</c:v>
                </c:pt>
                <c:pt idx="150">
                  <c:v>16.956683239246669</c:v>
                </c:pt>
                <c:pt idx="151">
                  <c:v>16.954879261817563</c:v>
                </c:pt>
                <c:pt idx="152">
                  <c:v>16.953102514584266</c:v>
                </c:pt>
                <c:pt idx="153">
                  <c:v>16.951352586519715</c:v>
                </c:pt>
                <c:pt idx="154">
                  <c:v>16.949629072801084</c:v>
                </c:pt>
                <c:pt idx="155">
                  <c:v>16.947931574716183</c:v>
                </c:pt>
                <c:pt idx="156">
                  <c:v>16.946259699571179</c:v>
                </c:pt>
                <c:pt idx="157">
                  <c:v>16.944613060599785</c:v>
                </c:pt>
                <c:pt idx="158">
                  <c:v>16.942991276873748</c:v>
                </c:pt>
                <c:pt idx="159">
                  <c:v>16.941393973214762</c:v>
                </c:pt>
                <c:pt idx="160">
                  <c:v>16.939820780107663</c:v>
                </c:pt>
                <c:pt idx="161">
                  <c:v>16.938271333614949</c:v>
                </c:pt>
                <c:pt idx="162">
                  <c:v>16.936745275292566</c:v>
                </c:pt>
                <c:pt idx="163">
                  <c:v>16.935242252107027</c:v>
                </c:pt>
                <c:pt idx="164">
                  <c:v>16.933761916353721</c:v>
                </c:pt>
                <c:pt idx="165">
                  <c:v>16.932303925576445</c:v>
                </c:pt>
                <c:pt idx="166">
                  <c:v>16.930867942488256</c:v>
                </c:pt>
                <c:pt idx="167">
                  <c:v>16.929453634893356</c:v>
                </c:pt>
                <c:pt idx="168">
                  <c:v>16.928060675610325</c:v>
                </c:pt>
                <c:pt idx="169">
                  <c:v>16.926688742396372</c:v>
                </c:pt>
                <c:pt idx="170">
                  <c:v>16.925337517872812</c:v>
                </c:pt>
                <c:pt idx="171">
                  <c:v>16.924006689451641</c:v>
                </c:pt>
                <c:pt idx="172">
                  <c:v>16.922695949263247</c:v>
                </c:pt>
                <c:pt idx="173">
                  <c:v>16.921404994085133</c:v>
                </c:pt>
                <c:pt idx="174">
                  <c:v>16.920133525271833</c:v>
                </c:pt>
                <c:pt idx="175">
                  <c:v>16.918881248685771</c:v>
                </c:pt>
                <c:pt idx="176">
                  <c:v>16.917647874629257</c:v>
                </c:pt>
                <c:pt idx="177">
                  <c:v>16.91643311777743</c:v>
                </c:pt>
                <c:pt idx="178">
                  <c:v>16.91523669711232</c:v>
                </c:pt>
                <c:pt idx="179">
                  <c:v>16.914058335857732</c:v>
                </c:pt>
                <c:pt idx="180">
                  <c:v>16.91289776141533</c:v>
                </c:pt>
                <c:pt idx="181">
                  <c:v>16.911754705301487</c:v>
                </c:pt>
                <c:pt idx="182">
                  <c:v>16.910628903085211</c:v>
                </c:pt>
                <c:pt idx="183">
                  <c:v>16.909520094327021</c:v>
                </c:pt>
                <c:pt idx="184">
                  <c:v>16.908428022518589</c:v>
                </c:pt>
                <c:pt idx="185">
                  <c:v>16.907352435023494</c:v>
                </c:pt>
                <c:pt idx="186">
                  <c:v>16.906293083018724</c:v>
                </c:pt>
                <c:pt idx="187">
                  <c:v>16.905249721437162</c:v>
                </c:pt>
                <c:pt idx="188">
                  <c:v>16.904222108910815</c:v>
                </c:pt>
                <c:pt idx="189">
                  <c:v>16.903210007715085</c:v>
                </c:pt>
                <c:pt idx="190">
                  <c:v>16.90221318371368</c:v>
                </c:pt>
                <c:pt idx="191">
                  <c:v>16.901231406304493</c:v>
                </c:pt>
                <c:pt idx="192">
                  <c:v>16.900264448366254</c:v>
                </c:pt>
                <c:pt idx="193">
                  <c:v>16.899312086205978</c:v>
                </c:pt>
                <c:pt idx="194">
                  <c:v>16.898374099507219</c:v>
                </c:pt>
                <c:pt idx="195">
                  <c:v>16.897450271279101</c:v>
                </c:pt>
                <c:pt idx="196">
                  <c:v>16.896540387806144</c:v>
                </c:pt>
                <c:pt idx="197">
                  <c:v>16.895644238598777</c:v>
                </c:pt>
                <c:pt idx="198">
                  <c:v>16.894761616344688</c:v>
                </c:pt>
                <c:pt idx="199">
                  <c:v>16.893892316860835</c:v>
                </c:pt>
                <c:pt idx="200">
                  <c:v>16.893036139046242</c:v>
                </c:pt>
                <c:pt idx="201">
                  <c:v>16.892192884835435</c:v>
                </c:pt>
                <c:pt idx="202">
                  <c:v>16.891362359152666</c:v>
                </c:pt>
                <c:pt idx="203">
                  <c:v>16.890544369866756</c:v>
                </c:pt>
                <c:pt idx="204">
                  <c:v>16.889738727746646</c:v>
                </c:pt>
                <c:pt idx="205">
                  <c:v>16.888945246417652</c:v>
                </c:pt>
                <c:pt idx="206">
                  <c:v>16.888163742318316</c:v>
                </c:pt>
                <c:pt idx="207">
                  <c:v>16.887394034657948</c:v>
                </c:pt>
                <c:pt idx="208">
                  <c:v>16.886635945374834</c:v>
                </c:pt>
                <c:pt idx="209">
                  <c:v>16.88588929909498</c:v>
                </c:pt>
                <c:pt idx="210">
                  <c:v>16.885153923091625</c:v>
                </c:pt>
                <c:pt idx="211">
                  <c:v>16.884429647245195</c:v>
                </c:pt>
                <c:pt idx="212">
                  <c:v>16.883716304004025</c:v>
                </c:pt>
                <c:pt idx="213">
                  <c:v>16.883013728345542</c:v>
                </c:pt>
                <c:pt idx="214">
                  <c:v>16.882321757738133</c:v>
                </c:pt>
                <c:pt idx="215">
                  <c:v>16.881640232103489</c:v>
                </c:pt>
                <c:pt idx="216">
                  <c:v>16.88096899377965</c:v>
                </c:pt>
                <c:pt idx="217">
                  <c:v>16.880307887484459</c:v>
                </c:pt>
                <c:pt idx="218">
                  <c:v>16.879656760279683</c:v>
                </c:pt>
                <c:pt idx="219">
                  <c:v>16.879015461535612</c:v>
                </c:pt>
                <c:pt idx="220">
                  <c:v>16.878383842896241</c:v>
                </c:pt>
                <c:pt idx="221">
                  <c:v>16.877761758244912</c:v>
                </c:pt>
                <c:pt idx="222">
                  <c:v>16.877149063670522</c:v>
                </c:pt>
                <c:pt idx="223">
                  <c:v>16.876545617434246</c:v>
                </c:pt>
                <c:pt idx="224">
                  <c:v>16.875951279936778</c:v>
                </c:pt>
                <c:pt idx="225">
                  <c:v>16.875365913685929</c:v>
                </c:pt>
                <c:pt idx="226">
                  <c:v>16.87478938326494</c:v>
                </c:pt>
                <c:pt idx="227">
                  <c:v>16.874221555301091</c:v>
                </c:pt>
                <c:pt idx="228">
                  <c:v>16.873662298434859</c:v>
                </c:pt>
                <c:pt idx="229">
                  <c:v>16.873111483289534</c:v>
                </c:pt>
                <c:pt idx="230">
                  <c:v>16.87256898244129</c:v>
                </c:pt>
                <c:pt idx="231">
                  <c:v>16.872034670389695</c:v>
                </c:pt>
                <c:pt idx="232">
                  <c:v>16.871508423528681</c:v>
                </c:pt>
                <c:pt idx="233">
                  <c:v>16.870990120117984</c:v>
                </c:pt>
                <c:pt idx="234">
                  <c:v>16.870479640254931</c:v>
                </c:pt>
                <c:pt idx="235">
                  <c:v>16.869976865846724</c:v>
                </c:pt>
                <c:pt idx="236">
                  <c:v>16.869481680583139</c:v>
                </c:pt>
                <c:pt idx="237">
                  <c:v>16.868993969909571</c:v>
                </c:pt>
                <c:pt idx="238">
                  <c:v>16.868513621000584</c:v>
                </c:pt>
                <c:pt idx="239">
                  <c:v>16.868040522733789</c:v>
                </c:pt>
                <c:pt idx="240">
                  <c:v>16.867574565664111</c:v>
                </c:pt>
                <c:pt idx="241">
                  <c:v>16.867115641998545</c:v>
                </c:pt>
                <c:pt idx="242">
                  <c:v>16.866663645571137</c:v>
                </c:pt>
                <c:pt idx="243">
                  <c:v>16.866218471818453</c:v>
                </c:pt>
                <c:pt idx="244">
                  <c:v>16.865780017755423</c:v>
                </c:pt>
                <c:pt idx="245">
                  <c:v>16.865348181951468</c:v>
                </c:pt>
                <c:pt idx="246">
                  <c:v>16.864922864507061</c:v>
                </c:pt>
                <c:pt idx="247">
                  <c:v>16.864503967030611</c:v>
                </c:pt>
                <c:pt idx="248">
                  <c:v>16.864091392615716</c:v>
                </c:pt>
                <c:pt idx="249">
                  <c:v>16.863685045818695</c:v>
                </c:pt>
                <c:pt idx="250">
                  <c:v>16.863284832636591</c:v>
                </c:pt>
                <c:pt idx="251">
                  <c:v>16.862890660485331</c:v>
                </c:pt>
                <c:pt idx="252">
                  <c:v>16.862502438178407</c:v>
                </c:pt>
                <c:pt idx="253">
                  <c:v>16.862120075905679</c:v>
                </c:pt>
                <c:pt idx="254">
                  <c:v>16.861743485212685</c:v>
                </c:pt>
                <c:pt idx="255">
                  <c:v>16.861372578980117</c:v>
                </c:pt>
                <c:pt idx="256">
                  <c:v>16.861007271403704</c:v>
                </c:pt>
                <c:pt idx="257">
                  <c:v>16.860647477974364</c:v>
                </c:pt>
                <c:pt idx="258">
                  <c:v>16.860293115458596</c:v>
                </c:pt>
                <c:pt idx="259">
                  <c:v>16.859944101879318</c:v>
                </c:pt>
                <c:pt idx="260">
                  <c:v>16.859600356496838</c:v>
                </c:pt>
                <c:pt idx="261">
                  <c:v>16.859261799790175</c:v>
                </c:pt>
                <c:pt idx="262">
                  <c:v>16.85892835343871</c:v>
                </c:pt>
                <c:pt idx="263">
                  <c:v>16.858599940304014</c:v>
                </c:pt>
                <c:pt idx="264">
                  <c:v>16.858276484412031</c:v>
                </c:pt>
                <c:pt idx="265">
                  <c:v>16.85795791093549</c:v>
                </c:pt>
                <c:pt idx="266">
                  <c:v>16.857644146176632</c:v>
                </c:pt>
                <c:pt idx="267">
                  <c:v>16.857335117550093</c:v>
                </c:pt>
                <c:pt idx="268">
                  <c:v>16.857030753566196</c:v>
                </c:pt>
                <c:pt idx="269">
                  <c:v>16.856730983814316</c:v>
                </c:pt>
                <c:pt idx="270">
                  <c:v>16.856435738946683</c:v>
                </c:pt>
                <c:pt idx="271">
                  <c:v>16.856144950662273</c:v>
                </c:pt>
                <c:pt idx="272">
                  <c:v>16.855858551691064</c:v>
                </c:pt>
                <c:pt idx="273">
                  <c:v>16.855576475778417</c:v>
                </c:pt>
                <c:pt idx="274">
                  <c:v>16.855298657669774</c:v>
                </c:pt>
                <c:pt idx="275">
                  <c:v>16.855025033095576</c:v>
                </c:pt>
                <c:pt idx="276">
                  <c:v>16.85475553875639</c:v>
                </c:pt>
                <c:pt idx="277">
                  <c:v>16.854490112308255</c:v>
                </c:pt>
                <c:pt idx="278">
                  <c:v>16.854228692348254</c:v>
                </c:pt>
                <c:pt idx="279">
                  <c:v>16.853971218400314</c:v>
                </c:pt>
                <c:pt idx="280">
                  <c:v>16.853717630901226</c:v>
                </c:pt>
                <c:pt idx="281">
                  <c:v>16.853467871186879</c:v>
                </c:pt>
                <c:pt idx="282">
                  <c:v>16.853221881478632</c:v>
                </c:pt>
                <c:pt idx="283">
                  <c:v>16.852979604870011</c:v>
                </c:pt>
                <c:pt idx="284">
                  <c:v>16.852740985313527</c:v>
                </c:pt>
                <c:pt idx="285">
                  <c:v>16.852505967607666</c:v>
                </c:pt>
                <c:pt idx="286">
                  <c:v>16.852274497384201</c:v>
                </c:pt>
                <c:pt idx="287">
                  <c:v>16.852046521095527</c:v>
                </c:pt>
                <c:pt idx="288">
                  <c:v>16.851821986002339</c:v>
                </c:pt>
                <c:pt idx="289">
                  <c:v>16.851600840161382</c:v>
                </c:pt>
                <c:pt idx="290">
                  <c:v>16.851383032413523</c:v>
                </c:pt>
                <c:pt idx="291">
                  <c:v>16.851168512371753</c:v>
                </c:pt>
                <c:pt idx="292">
                  <c:v>16.850957230409723</c:v>
                </c:pt>
                <c:pt idx="293">
                  <c:v>16.850749137650119</c:v>
                </c:pt>
                <c:pt idx="294">
                  <c:v>16.850544185953428</c:v>
                </c:pt>
                <c:pt idx="295">
                  <c:v>16.850342327906763</c:v>
                </c:pt>
                <c:pt idx="296">
                  <c:v>16.850143516812931</c:v>
                </c:pt>
                <c:pt idx="297">
                  <c:v>16.849947706679618</c:v>
                </c:pt>
                <c:pt idx="298">
                  <c:v>16.84975485220869</c:v>
                </c:pt>
                <c:pt idx="299">
                  <c:v>16.849564908785847</c:v>
                </c:pt>
                <c:pt idx="300">
                  <c:v>16.849377832470147</c:v>
                </c:pt>
                <c:pt idx="301">
                  <c:v>16.849193579983972</c:v>
                </c:pt>
                <c:pt idx="302">
                  <c:v>16.849012108702922</c:v>
                </c:pt>
                <c:pt idx="303">
                  <c:v>16.848833376646009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6D-4B04-A326-F52C856EB9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78891343"/>
        <c:axId val="978891823"/>
      </c:lineChart>
      <c:catAx>
        <c:axId val="97889134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78891823"/>
        <c:crosses val="autoZero"/>
        <c:auto val="1"/>
        <c:lblAlgn val="ctr"/>
        <c:lblOffset val="100"/>
        <c:noMultiLvlLbl val="0"/>
      </c:catAx>
      <c:valAx>
        <c:axId val="978891823"/>
        <c:scaling>
          <c:logBase val="2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788913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94129</xdr:colOff>
      <xdr:row>13</xdr:row>
      <xdr:rowOff>48746</xdr:rowOff>
    </xdr:from>
    <xdr:to>
      <xdr:col>22</xdr:col>
      <xdr:colOff>381000</xdr:colOff>
      <xdr:row>29</xdr:row>
      <xdr:rowOff>1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C1BCF8E2-482B-39EF-AEDC-283434B0EC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30</xdr:col>
      <xdr:colOff>119854</xdr:colOff>
      <xdr:row>1</xdr:row>
      <xdr:rowOff>196345</xdr:rowOff>
    </xdr:from>
    <xdr:to>
      <xdr:col>35</xdr:col>
      <xdr:colOff>63824</xdr:colOff>
      <xdr:row>14</xdr:row>
      <xdr:rowOff>171692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1E2BCEBA-E063-4D20-89E4-395321DC87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97899-ECE4-4FF9-A457-768D4A22A2A8}">
  <dimension ref="B1:AD579"/>
  <sheetViews>
    <sheetView tabSelected="1" zoomScale="85" zoomScaleNormal="85" workbookViewId="0">
      <selection activeCell="AH22" sqref="AH22"/>
    </sheetView>
  </sheetViews>
  <sheetFormatPr defaultRowHeight="16.5" x14ac:dyDescent="0.3"/>
  <cols>
    <col min="1" max="1" width="3" customWidth="1"/>
    <col min="7" max="7" width="5" bestFit="1" customWidth="1"/>
    <col min="8" max="18" width="3.625" customWidth="1"/>
    <col min="19" max="19" width="3.75" customWidth="1"/>
    <col min="20" max="20" width="3.875" bestFit="1" customWidth="1"/>
    <col min="21" max="21" width="10.5" bestFit="1" customWidth="1"/>
    <col min="22" max="22" width="4.625" bestFit="1" customWidth="1"/>
    <col min="23" max="23" width="6.875" bestFit="1" customWidth="1"/>
    <col min="25" max="30" width="7.625" customWidth="1"/>
  </cols>
  <sheetData>
    <row r="1" spans="2:30" ht="6.75" customHeight="1" x14ac:dyDescent="0.3"/>
    <row r="2" spans="2:30" x14ac:dyDescent="0.3">
      <c r="B2" t="s">
        <v>0</v>
      </c>
      <c r="C2" t="s">
        <v>1</v>
      </c>
      <c r="D2" t="s">
        <v>14</v>
      </c>
      <c r="E2" t="s">
        <v>13</v>
      </c>
      <c r="G2" t="s">
        <v>4</v>
      </c>
      <c r="H2" cm="1">
        <f t="array" ref="H2:Q3">TRANSPOSE(H4:I13)</f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U2" t="s">
        <v>5</v>
      </c>
      <c r="W2" t="s">
        <v>6</v>
      </c>
      <c r="Y2" t="s">
        <v>7</v>
      </c>
      <c r="Z2" t="s">
        <v>8</v>
      </c>
      <c r="AA2" t="s">
        <v>10</v>
      </c>
      <c r="AB2" t="s">
        <v>9</v>
      </c>
      <c r="AC2" t="s">
        <v>11</v>
      </c>
      <c r="AD2" t="s">
        <v>12</v>
      </c>
    </row>
    <row r="3" spans="2:30" x14ac:dyDescent="0.3">
      <c r="B3" s="2">
        <v>2.4</v>
      </c>
      <c r="C3" s="2">
        <v>15.3</v>
      </c>
      <c r="D3" s="2">
        <f>$T$3+B3*$T$4</f>
        <v>8.5749637835534607</v>
      </c>
      <c r="E3" s="2">
        <f>$Y$306+B3*$Z$306</f>
        <v>8.4356351277399391</v>
      </c>
      <c r="F3" s="2"/>
      <c r="H3">
        <v>2.4</v>
      </c>
      <c r="I3">
        <v>4.0999999999999996</v>
      </c>
      <c r="J3">
        <v>6.8</v>
      </c>
      <c r="K3">
        <v>1.5</v>
      </c>
      <c r="L3">
        <v>9.1999999999999993</v>
      </c>
      <c r="M3">
        <v>5.5</v>
      </c>
      <c r="N3">
        <v>8</v>
      </c>
      <c r="O3">
        <v>3.7</v>
      </c>
      <c r="P3">
        <v>10</v>
      </c>
      <c r="Q3">
        <v>0.8</v>
      </c>
      <c r="S3" t="s">
        <v>7</v>
      </c>
      <c r="T3" s="2" cm="1">
        <f t="array" ref="T3:T4">MMULT(_xlfn.ANCHORARRAY(U3),_xlfn.ANCHORARRAY(W3))</f>
        <v>2.5363613123135806</v>
      </c>
      <c r="U3" s="2" cm="1">
        <f t="array" ref="U3:V4">MINVERSE(MMULT(_xlfn.ANCHORARRAY(H2),H4:I13))</f>
        <v>0.38802726885385602</v>
      </c>
      <c r="V3" s="2">
        <v>-5.5389859394972311E-2</v>
      </c>
      <c r="W3" s="2" cm="1">
        <f t="array" ref="W3:W4">MMULT(_xlfn.ANCHORARRAY(H2),_xlfn.ANCHORARRAY(L4))</f>
        <v>156.19999999999999</v>
      </c>
      <c r="Y3">
        <v>0</v>
      </c>
      <c r="Z3">
        <v>0</v>
      </c>
      <c r="AA3">
        <v>3.0000000000000001E-3</v>
      </c>
      <c r="AB3" s="2" cm="1">
        <f t="array" ref="AB3">1/10*SUM(((Y3+$B$3:$B$12*Z3)-$C$3:$C$12)^2)</f>
        <v>320.25400000000002</v>
      </c>
      <c r="AC3" s="2" cm="1">
        <f t="array" ref="AC3">SUM(((Y3+$B$3:$B$12*Z3)-$C$3:$C$12))</f>
        <v>-156.19999999999999</v>
      </c>
      <c r="AD3" s="3" cm="1">
        <f t="array" ref="AD3">SUM(((Y3+$B$3:$B$12*Z3)-$C$3:$C$12)*$B$3:$B$12)</f>
        <v>-1048.45</v>
      </c>
    </row>
    <row r="4" spans="2:30" x14ac:dyDescent="0.3">
      <c r="B4" s="2">
        <v>4.0999999999999996</v>
      </c>
      <c r="C4" s="2">
        <v>8.6999999999999993</v>
      </c>
      <c r="D4" s="2">
        <f t="shared" ref="D4:D12" si="0">$T$3+B4*$T$4</f>
        <v>12.852307200681709</v>
      </c>
      <c r="E4" s="2">
        <f t="shared" ref="E4:E12" si="1">$Y$306+B4*$Z$306</f>
        <v>12.764957485483723</v>
      </c>
      <c r="F4" s="2"/>
      <c r="G4" t="s">
        <v>2</v>
      </c>
      <c r="H4">
        <v>1</v>
      </c>
      <c r="I4" cm="1">
        <f t="array" ref="I4:I13">B3:B12</f>
        <v>2.4</v>
      </c>
      <c r="K4" t="s">
        <v>3</v>
      </c>
      <c r="L4" cm="1">
        <f t="array" ref="L4:L13">C3:C12</f>
        <v>15.3</v>
      </c>
      <c r="S4" t="s">
        <v>8</v>
      </c>
      <c r="T4" s="2">
        <v>2.516084363016617</v>
      </c>
      <c r="U4" s="2">
        <v>-5.5389859394972311E-2</v>
      </c>
      <c r="V4" s="2">
        <v>1.0651896037494675E-2</v>
      </c>
      <c r="W4" s="2">
        <v>1048.45</v>
      </c>
      <c r="Y4" s="1">
        <f>Y3-AA3*AC3</f>
        <v>0.46859999999999996</v>
      </c>
      <c r="Z4" s="1">
        <f>Z3-AA3*AD3</f>
        <v>3.1453500000000001</v>
      </c>
      <c r="AA4">
        <f>AA3</f>
        <v>3.0000000000000001E-3</v>
      </c>
      <c r="AB4" s="2" cm="1">
        <f t="array" ref="AB4">1/10*SUM(((Y4+$B$3:$B$12*Z4)-$C$3:$C$12)^2)</f>
        <v>22.005214368430003</v>
      </c>
      <c r="AC4" s="2" cm="1">
        <f t="array" ref="AC4">SUM(((Y4+$B$3:$B$12*Z4)-$C$3:$C$12))</f>
        <v>12.044199999999996</v>
      </c>
      <c r="AD4" s="3" cm="1">
        <f t="array" ref="AD4">SUM(((Y4+$B$3:$B$12*Z4)-$C$3:$C$12)*$B$3:$B$12)</f>
        <v>121.70529799999998</v>
      </c>
    </row>
    <row r="5" spans="2:30" x14ac:dyDescent="0.3">
      <c r="B5" s="2">
        <v>6.8</v>
      </c>
      <c r="C5" s="2">
        <v>22.1</v>
      </c>
      <c r="D5" s="2">
        <f t="shared" si="0"/>
        <v>19.645734980826575</v>
      </c>
      <c r="E5" s="2">
        <f t="shared" si="1"/>
        <v>19.640940053665027</v>
      </c>
      <c r="F5" s="2"/>
      <c r="H5">
        <v>1</v>
      </c>
      <c r="I5">
        <v>4.0999999999999996</v>
      </c>
      <c r="L5">
        <v>8.6999999999999993</v>
      </c>
      <c r="Y5" s="1">
        <f t="shared" ref="Y5:Y6" si="2">Y4-AA4*AC4</f>
        <v>0.43246739999999995</v>
      </c>
      <c r="Z5" s="1">
        <f t="shared" ref="Z5:Z6" si="3">Z4-AA4*AD4</f>
        <v>2.780234106</v>
      </c>
      <c r="AA5">
        <f t="shared" ref="AA5:AA6" si="4">AA4</f>
        <v>3.0000000000000001E-3</v>
      </c>
      <c r="AB5" s="2" cm="1">
        <f t="array" ref="AB5">1/10*SUM(((Y5+$B$3:$B$12*Z5)-$C$3:$C$12)^2)</f>
        <v>18.025580137924646</v>
      </c>
      <c r="AC5" s="2" cm="1">
        <f t="array" ref="AC5">SUM(((Y5+$B$3:$B$12*Z5)-$C$3:$C$12))</f>
        <v>-7.3031524880000056</v>
      </c>
      <c r="AD5" s="3" cm="1">
        <f t="array" ref="AD5">SUM(((Y5+$B$3:$B$12*Z5)-$C$3:$C$12)*$B$3:$B$12)</f>
        <v>-13.178015066320025</v>
      </c>
    </row>
    <row r="6" spans="2:30" x14ac:dyDescent="0.3">
      <c r="B6" s="2">
        <v>1.5</v>
      </c>
      <c r="C6" s="2">
        <v>5.4</v>
      </c>
      <c r="D6" s="2">
        <f t="shared" si="0"/>
        <v>6.3104878568385061</v>
      </c>
      <c r="E6" s="2">
        <f t="shared" si="1"/>
        <v>6.143640938346171</v>
      </c>
      <c r="F6" s="2"/>
      <c r="H6">
        <v>1</v>
      </c>
      <c r="I6">
        <v>6.8</v>
      </c>
      <c r="L6">
        <v>22.1</v>
      </c>
      <c r="Y6" s="1">
        <f t="shared" si="2"/>
        <v>0.45437685746399997</v>
      </c>
      <c r="Z6" s="1">
        <f t="shared" si="3"/>
        <v>2.8197681511989598</v>
      </c>
      <c r="AA6">
        <f t="shared" si="4"/>
        <v>3.0000000000000001E-3</v>
      </c>
      <c r="AB6" s="2" cm="1">
        <f t="array" ref="AB6">1/10*SUM(((Y6+$B$3:$B$12*Z6)-$C$3:$C$12)^2)</f>
        <v>17.955805459354572</v>
      </c>
      <c r="AC6" s="2" cm="1">
        <f t="array" ref="AC6">SUM(((Y6+$B$3:$B$12*Z6)-$C$3:$C$12))</f>
        <v>-5.0282875630140929</v>
      </c>
      <c r="AD6" s="3" cm="1">
        <f t="array" ref="AD6">SUM(((Y6+$B$3:$B$12*Z6)-$C$3:$C$12)*$B$3:$B$12)</f>
        <v>2.3627387068850441</v>
      </c>
    </row>
    <row r="7" spans="2:30" x14ac:dyDescent="0.3">
      <c r="B7" s="2">
        <v>9.1999999999999993</v>
      </c>
      <c r="C7" s="2">
        <v>18.899999999999999</v>
      </c>
      <c r="D7" s="2">
        <f t="shared" si="0"/>
        <v>25.684337452066455</v>
      </c>
      <c r="E7" s="2">
        <f t="shared" si="1"/>
        <v>25.752924558715073</v>
      </c>
      <c r="F7" s="2"/>
      <c r="H7">
        <v>1</v>
      </c>
      <c r="I7">
        <v>1.5</v>
      </c>
      <c r="L7">
        <v>5.4</v>
      </c>
      <c r="Y7" s="1">
        <f t="shared" ref="Y7:Y14" si="5">Y6-AA6*AC6</f>
        <v>0.46946172015304227</v>
      </c>
      <c r="Z7" s="1">
        <f t="shared" ref="Z7:Z14" si="6">Z6-AA6*AD6</f>
        <v>2.8126799350783047</v>
      </c>
      <c r="AA7">
        <f t="shared" ref="AA7:AA14" si="7">AA6</f>
        <v>3.0000000000000001E-3</v>
      </c>
      <c r="AB7" s="2" cm="1">
        <f t="array" ref="AB7">1/10*SUM(((Y7+$B$3:$B$12*Z7)-$C$3:$C$12)^2)</f>
        <v>17.938231513854795</v>
      </c>
      <c r="AC7" s="2" cm="1">
        <f t="array" ref="AC7">SUM(((Y7+$B$3:$B$12*Z7)-$C$3:$C$12))</f>
        <v>-5.2460261743977377</v>
      </c>
      <c r="AD7" s="3" cm="1">
        <f t="array" ref="AD7">SUM(((Y7+$B$3:$B$12*Z7)-$C$3:$C$12)*$B$3:$B$12)</f>
        <v>0.56505619828300802</v>
      </c>
    </row>
    <row r="8" spans="2:30" x14ac:dyDescent="0.3">
      <c r="B8" s="2">
        <v>5.5</v>
      </c>
      <c r="C8" s="2">
        <v>12.6</v>
      </c>
      <c r="D8" s="2">
        <f t="shared" si="0"/>
        <v>16.374825308904974</v>
      </c>
      <c r="E8" s="2">
        <f t="shared" si="1"/>
        <v>16.33028178009625</v>
      </c>
      <c r="F8" s="2"/>
      <c r="H8">
        <v>1</v>
      </c>
      <c r="I8">
        <v>9.1999999999999993</v>
      </c>
      <c r="L8">
        <v>18.899999999999999</v>
      </c>
      <c r="Y8" s="1">
        <f t="shared" si="5"/>
        <v>0.48519979867623547</v>
      </c>
      <c r="Z8" s="1">
        <f t="shared" si="6"/>
        <v>2.8109847664834557</v>
      </c>
      <c r="AA8">
        <f t="shared" si="7"/>
        <v>3.0000000000000001E-3</v>
      </c>
      <c r="AB8" s="2" cm="1">
        <f t="array" ref="AB8">1/10*SUM(((Y8+$B$3:$B$12*Z8)-$C$3:$C$12)^2)</f>
        <v>17.921602374425117</v>
      </c>
      <c r="AC8" s="2" cm="1">
        <f t="array" ref="AC8">SUM(((Y8+$B$3:$B$12*Z8)-$C$3:$C$12))</f>
        <v>-5.176794156097956</v>
      </c>
      <c r="AD8" s="3" cm="1">
        <f t="array" ref="AD8">SUM(((Y8+$B$3:$B$12*Z8)-$C$3:$C$12)*$B$3:$B$12)</f>
        <v>0.76592026575743621</v>
      </c>
    </row>
    <row r="9" spans="2:30" x14ac:dyDescent="0.3">
      <c r="B9" s="2">
        <v>8</v>
      </c>
      <c r="C9" s="2">
        <v>27.3</v>
      </c>
      <c r="D9" s="2">
        <f t="shared" si="0"/>
        <v>22.665036216446516</v>
      </c>
      <c r="E9" s="2">
        <f t="shared" si="1"/>
        <v>22.69693230619005</v>
      </c>
      <c r="F9" s="2"/>
      <c r="H9">
        <v>1</v>
      </c>
      <c r="I9">
        <v>5.5</v>
      </c>
      <c r="L9">
        <v>12.6</v>
      </c>
      <c r="Y9" s="1">
        <f t="shared" si="5"/>
        <v>0.50073018114452938</v>
      </c>
      <c r="Z9" s="1">
        <f t="shared" si="6"/>
        <v>2.8086870056861835</v>
      </c>
      <c r="AA9">
        <f t="shared" si="7"/>
        <v>3.0000000000000001E-3</v>
      </c>
      <c r="AB9" s="2" cm="1">
        <f t="array" ref="AB9">1/10*SUM(((Y9+$B$3:$B$12*Z9)-$C$3:$C$12)^2)</f>
        <v>17.905233272252374</v>
      </c>
      <c r="AC9" s="2" cm="1">
        <f t="array" ref="AC9">SUM(((Y9+$B$3:$B$12*Z9)-$C$3:$C$12))</f>
        <v>-5.140973892873169</v>
      </c>
      <c r="AD9" s="3" cm="1">
        <f t="array" ref="AD9">SUM(((Y9+$B$3:$B$12*Z9)-$C$3:$C$12)*$B$3:$B$12)</f>
        <v>0.73647185087840583</v>
      </c>
    </row>
    <row r="10" spans="2:30" x14ac:dyDescent="0.3">
      <c r="B10" s="2">
        <v>3.7</v>
      </c>
      <c r="C10" s="2">
        <v>10.199999999999999</v>
      </c>
      <c r="D10" s="2">
        <f t="shared" si="0"/>
        <v>11.845873455475063</v>
      </c>
      <c r="E10" s="2">
        <f t="shared" si="1"/>
        <v>11.746293401308716</v>
      </c>
      <c r="F10" s="2"/>
      <c r="H10">
        <v>1</v>
      </c>
      <c r="I10">
        <v>8</v>
      </c>
      <c r="L10">
        <v>27.3</v>
      </c>
      <c r="Y10" s="1">
        <f t="shared" si="5"/>
        <v>0.51615310282314886</v>
      </c>
      <c r="Z10" s="1">
        <f t="shared" si="6"/>
        <v>2.8064775901335484</v>
      </c>
      <c r="AA10">
        <f t="shared" si="7"/>
        <v>3.0000000000000001E-3</v>
      </c>
      <c r="AB10" s="2" cm="1">
        <f t="array" ref="AB10">1/10*SUM(((Y10+$B$3:$B$12*Z10)-$C$3:$C$12)^2)</f>
        <v>17.889111373969772</v>
      </c>
      <c r="AC10" s="2" cm="1">
        <f t="array" ref="AC10">SUM(((Y10+$B$3:$B$12*Z10)-$C$3:$C$12))</f>
        <v>-5.1016342848239935</v>
      </c>
      <c r="AD10" s="3" cm="1">
        <f t="array" ref="AD10">SUM(((Y10+$B$3:$B$12*Z10)-$C$3:$C$12)*$B$3:$B$12)</f>
        <v>0.73361788065277111</v>
      </c>
    </row>
    <row r="11" spans="2:30" x14ac:dyDescent="0.3">
      <c r="B11" s="2">
        <v>10</v>
      </c>
      <c r="C11" s="2">
        <v>31.5</v>
      </c>
      <c r="D11" s="2">
        <f t="shared" si="0"/>
        <v>27.69720494247975</v>
      </c>
      <c r="E11" s="2">
        <f t="shared" si="1"/>
        <v>27.790252727065088</v>
      </c>
      <c r="F11" s="2"/>
      <c r="H11">
        <v>1</v>
      </c>
      <c r="I11">
        <v>3.7</v>
      </c>
      <c r="L11">
        <v>10.199999999999999</v>
      </c>
      <c r="Y11" s="1">
        <f t="shared" si="5"/>
        <v>0.5314580056776208</v>
      </c>
      <c r="Z11" s="1">
        <f t="shared" si="6"/>
        <v>2.8042767364915901</v>
      </c>
      <c r="AA11">
        <f t="shared" si="7"/>
        <v>3.0000000000000001E-3</v>
      </c>
      <c r="AB11" s="2" cm="1">
        <f t="array" ref="AB11">1/10*SUM(((Y11+$B$3:$B$12*Z11)-$C$3:$C$12)^2)</f>
        <v>17.873232829797278</v>
      </c>
      <c r="AC11" s="2" cm="1">
        <f t="array" ref="AC11">SUM(((Y11+$B$3:$B$12*Z11)-$C$3:$C$12))</f>
        <v>-5.0630296456611106</v>
      </c>
      <c r="AD11" s="3" cm="1">
        <f t="array" ref="AD11">SUM(((Y11+$B$3:$B$12*Z11)-$C$3:$C$12)*$B$3:$B$12)</f>
        <v>0.72774586439270506</v>
      </c>
    </row>
    <row r="12" spans="2:30" x14ac:dyDescent="0.3">
      <c r="B12" s="2">
        <v>0.8</v>
      </c>
      <c r="C12" s="2">
        <v>4.2</v>
      </c>
      <c r="D12" s="2">
        <f t="shared" si="0"/>
        <v>4.5492288027268746</v>
      </c>
      <c r="E12" s="2">
        <f t="shared" si="1"/>
        <v>4.3609787910399067</v>
      </c>
      <c r="F12" s="2"/>
      <c r="H12">
        <v>1</v>
      </c>
      <c r="I12">
        <v>10</v>
      </c>
      <c r="L12">
        <v>31.5</v>
      </c>
      <c r="Y12" s="1">
        <f t="shared" si="5"/>
        <v>0.54664709461460415</v>
      </c>
      <c r="Z12" s="1">
        <f t="shared" si="6"/>
        <v>2.8020934988984121</v>
      </c>
      <c r="AA12">
        <f t="shared" si="7"/>
        <v>3.0000000000000001E-3</v>
      </c>
      <c r="AB12" s="2" cm="1">
        <f t="array" ref="AB12">1/10*SUM(((Y12+$B$3:$B$12*Z12)-$C$3:$C$12)^2)</f>
        <v>17.857593964845972</v>
      </c>
      <c r="AC12" s="2" cm="1">
        <f t="array" ref="AC12">SUM(((Y12+$B$3:$B$12*Z12)-$C$3:$C$12))</f>
        <v>-5.0246671111365373</v>
      </c>
      <c r="AD12" s="3" cm="1">
        <f t="array" ref="AD12">SUM(((Y12+$B$3:$B$12*Z12)-$C$3:$C$12)*$B$3:$B$12)</f>
        <v>0.72226869867290477</v>
      </c>
    </row>
    <row r="13" spans="2:30" x14ac:dyDescent="0.3">
      <c r="D13" s="2"/>
      <c r="E13" s="2"/>
      <c r="F13" s="2"/>
      <c r="H13">
        <v>1</v>
      </c>
      <c r="I13">
        <v>0.8</v>
      </c>
      <c r="L13">
        <v>4.2</v>
      </c>
      <c r="Y13" s="1">
        <f t="shared" si="5"/>
        <v>0.56172109594801378</v>
      </c>
      <c r="Z13" s="1">
        <f t="shared" si="6"/>
        <v>2.7999266928023934</v>
      </c>
      <c r="AA13">
        <f t="shared" si="7"/>
        <v>3.0000000000000001E-3</v>
      </c>
      <c r="AB13" s="2" cm="1">
        <f t="array" ref="AB13">1/10*SUM(((Y13+$B$3:$B$12*Z13)-$C$3:$C$12)^2)</f>
        <v>17.842191161249186</v>
      </c>
      <c r="AC13" s="2" cm="1">
        <f t="array" ref="AC13">SUM(((Y13+$B$3:$B$12*Z13)-$C$3:$C$12))</f>
        <v>-4.9866010147954096</v>
      </c>
      <c r="AD13" s="3" cm="1">
        <f t="array" ref="AD13">SUM(((Y13+$B$3:$B$12*Z13)-$C$3:$C$12)*$B$3:$B$12)</f>
        <v>0.71679264335254267</v>
      </c>
    </row>
    <row r="14" spans="2:30" x14ac:dyDescent="0.3">
      <c r="Y14" s="1">
        <f t="shared" si="5"/>
        <v>0.57668089899240005</v>
      </c>
      <c r="Z14" s="1">
        <f t="shared" si="6"/>
        <v>2.7977763148723356</v>
      </c>
      <c r="AA14">
        <f t="shared" si="7"/>
        <v>3.0000000000000001E-3</v>
      </c>
      <c r="AB14" s="2" cm="1">
        <f t="array" ref="AB14">1/10*SUM(((Y14+$B$3:$B$12*Z14)-$C$3:$C$12)^2)</f>
        <v>17.827020855770865</v>
      </c>
      <c r="AC14" s="2" cm="1">
        <f t="array" ref="AC14">SUM(((Y14+$B$3:$B$12*Z14)-$C$3:$C$12))</f>
        <v>-4.948822636714552</v>
      </c>
      <c r="AD14" s="3" cm="1">
        <f t="array" ref="AD14">SUM(((Y14+$B$3:$B$12*Z14)-$C$3:$C$12)*$B$3:$B$12)</f>
        <v>0.71136272929917355</v>
      </c>
    </row>
    <row r="15" spans="2:30" x14ac:dyDescent="0.3">
      <c r="Y15" s="1">
        <f t="shared" ref="Y15:Y23" si="8">Y14-AA14*AC14</f>
        <v>0.59152736690254371</v>
      </c>
      <c r="Z15" s="1">
        <f t="shared" ref="Z15:Z23" si="9">Z14-AA14*AD14</f>
        <v>2.7956422266844378</v>
      </c>
      <c r="AA15">
        <f t="shared" ref="AA15:AA23" si="10">AA14</f>
        <v>3.0000000000000001E-3</v>
      </c>
      <c r="AB15" s="2" cm="1">
        <f t="array" ref="AB15">1/10*SUM(((Y15+$B$3:$B$12*Z15)-$C$3:$C$12)^2)</f>
        <v>17.812079538960628</v>
      </c>
      <c r="AC15" s="2" cm="1">
        <f t="array" ref="AC15">SUM(((Y15+$B$3:$B$12*Z15)-$C$3:$C$12))</f>
        <v>-4.9113305433837997</v>
      </c>
      <c r="AD15" s="3" cm="1">
        <f t="array" ref="AD15">SUM(((Y15+$B$3:$B$12*Z15)-$C$3:$C$12)*$B$3:$B$12)</f>
        <v>0.70597341553925252</v>
      </c>
    </row>
    <row r="16" spans="2:30" x14ac:dyDescent="0.3">
      <c r="Y16" s="1">
        <f t="shared" si="8"/>
        <v>0.60626135853269514</v>
      </c>
      <c r="Z16" s="1">
        <f t="shared" si="9"/>
        <v>2.7935243064378201</v>
      </c>
      <c r="AA16">
        <f t="shared" si="10"/>
        <v>3.0000000000000001E-3</v>
      </c>
      <c r="AB16" s="2" cm="1">
        <f t="array" ref="AB16">1/10*SUM(((Y16+$B$3:$B$12*Z16)-$C$3:$C$12)^2)</f>
        <v>17.797363754341585</v>
      </c>
      <c r="AC16" s="2" cm="1">
        <f t="array" ref="AC16">SUM(((Y16+$B$3:$B$12*Z16)-$C$3:$C$12))</f>
        <v>-4.8741224799064025</v>
      </c>
      <c r="AD16" s="3" cm="1">
        <f t="array" ref="AD16">SUM(((Y16+$B$3:$B$12*Z16)-$C$3:$C$12)*$B$3:$B$12)</f>
        <v>0.70062499286925894</v>
      </c>
    </row>
    <row r="17" spans="25:30" x14ac:dyDescent="0.3">
      <c r="Y17" s="1">
        <f t="shared" si="8"/>
        <v>0.62088372597241437</v>
      </c>
      <c r="Z17" s="1">
        <f t="shared" si="9"/>
        <v>2.7914224314592122</v>
      </c>
      <c r="AA17">
        <f t="shared" si="10"/>
        <v>3.0000000000000001E-3</v>
      </c>
      <c r="AB17" s="2" cm="1">
        <f t="array" ref="AB17">1/10*SUM(((Y17+$B$3:$B$12*Z17)-$C$3:$C$12)^2)</f>
        <v>17.782870097610765</v>
      </c>
      <c r="AC17" s="2" cm="1">
        <f t="array" ref="AC17">SUM(((Y17+$B$3:$B$12*Z17)-$C$3:$C$12))</f>
        <v>-4.8371963043968211</v>
      </c>
      <c r="AD17" s="3" cm="1">
        <f t="array" ref="AD17">SUM(((Y17+$B$3:$B$12*Z17)-$C$3:$C$12)*$B$3:$B$12)</f>
        <v>0.69531708252738644</v>
      </c>
    </row>
    <row r="18" spans="25:30" x14ac:dyDescent="0.3">
      <c r="Y18" s="1">
        <f t="shared" si="8"/>
        <v>0.63539531488560486</v>
      </c>
      <c r="Z18" s="1">
        <f t="shared" si="9"/>
        <v>2.7893364802116301</v>
      </c>
      <c r="AA18">
        <f t="shared" si="10"/>
        <v>3.0000000000000001E-3</v>
      </c>
      <c r="AB18" s="2" cm="1">
        <f t="array" ref="AB18">1/10*SUM(((Y18+$B$3:$B$12*Z18)-$C$3:$C$12)^2)</f>
        <v>17.768595215851558</v>
      </c>
      <c r="AC18" s="2" cm="1">
        <f t="array" ref="AC18">SUM(((Y18+$B$3:$B$12*Z18)-$C$3:$C$12))</f>
        <v>-4.800549880139183</v>
      </c>
      <c r="AD18" s="3" cm="1">
        <f t="array" ref="AD18">SUM(((Y18+$B$3:$B$12*Z18)-$C$3:$C$12)*$B$3:$B$12)</f>
        <v>0.69004938554410833</v>
      </c>
    </row>
    <row r="19" spans="25:30" x14ac:dyDescent="0.3">
      <c r="Y19" s="1">
        <f t="shared" si="8"/>
        <v>0.64979696452602242</v>
      </c>
      <c r="Z19" s="1">
        <f t="shared" si="9"/>
        <v>2.7872663320549975</v>
      </c>
      <c r="AA19">
        <f t="shared" si="10"/>
        <v>3.0000000000000001E-3</v>
      </c>
      <c r="AB19" s="2" cm="1">
        <f t="array" ref="AB19">1/10*SUM(((Y19+$B$3:$B$12*Z19)-$C$3:$C$12)^2)</f>
        <v>17.754535806758053</v>
      </c>
      <c r="AC19" s="2" cm="1">
        <f t="array" ref="AC19">SUM(((Y19+$B$3:$B$12*Z19)-$C$3:$C$12))</f>
        <v>-4.7641810878799076</v>
      </c>
      <c r="AD19" s="3" cm="1">
        <f t="array" ref="AD19">SUM(((Y19+$B$3:$B$12*Z19)-$C$3:$C$12)*$B$3:$B$12)</f>
        <v>0.68482159634764339</v>
      </c>
    </row>
    <row r="20" spans="25:30" x14ac:dyDescent="0.3">
      <c r="Y20" s="1">
        <f t="shared" si="8"/>
        <v>0.66408950778966214</v>
      </c>
      <c r="Z20" s="1">
        <f t="shared" si="9"/>
        <v>2.7852118672659545</v>
      </c>
      <c r="AA20">
        <f t="shared" si="10"/>
        <v>3.0000000000000001E-3</v>
      </c>
      <c r="AB20" s="2" cm="1">
        <f t="array" ref="AB20">1/10*SUM(((Y20+$B$3:$B$12*Z20)-$C$3:$C$12)^2)</f>
        <v>17.740688617871118</v>
      </c>
      <c r="AC20" s="2" cm="1">
        <f t="array" ref="AC20">SUM(((Y20+$B$3:$B$12*Z20)-$C$3:$C$12))</f>
        <v>-4.7280878242737536</v>
      </c>
      <c r="AD20" s="3" cm="1">
        <f t="array" ref="AD20">SUM(((Y20+$B$3:$B$12*Z20)-$C$3:$C$12)*$B$3:$B$12)</f>
        <v>0.67963341270425626</v>
      </c>
    </row>
    <row r="21" spans="25:30" x14ac:dyDescent="0.3">
      <c r="Y21" s="1">
        <f t="shared" si="8"/>
        <v>0.67827377126248345</v>
      </c>
      <c r="Z21" s="1">
        <f t="shared" si="9"/>
        <v>2.7831729670278418</v>
      </c>
      <c r="AA21">
        <f t="shared" si="10"/>
        <v>3.0000000000000001E-3</v>
      </c>
      <c r="AB21" s="2" cm="1">
        <f t="array" ref="AB21">1/10*SUM(((Y21+$B$3:$B$12*Z21)-$C$3:$C$12)^2)</f>
        <v>17.727050445825945</v>
      </c>
      <c r="AC21" s="2" cm="1">
        <f t="array" ref="AC21">SUM(((Y21+$B$3:$B$12*Z21)-$C$3:$C$12))</f>
        <v>-4.6922680019274026</v>
      </c>
      <c r="AD21" s="3" cm="1">
        <f t="array" ref="AD21">SUM(((Y21+$B$3:$B$12*Z21)-$C$3:$C$12)*$B$3:$B$12)</f>
        <v>0.67448453455125801</v>
      </c>
    </row>
    <row r="22" spans="25:30" x14ac:dyDescent="0.3">
      <c r="Y22" s="1">
        <f t="shared" si="8"/>
        <v>0.69235057526826571</v>
      </c>
      <c r="Z22" s="1">
        <f t="shared" si="9"/>
        <v>2.7811495134241881</v>
      </c>
      <c r="AA22">
        <f t="shared" si="10"/>
        <v>3.0000000000000001E-3</v>
      </c>
      <c r="AB22" s="2" cm="1">
        <f t="array" ref="AB22">1/10*SUM(((Y22+$B$3:$B$12*Z22)-$C$3:$C$12)^2)</f>
        <v>17.713618135611064</v>
      </c>
      <c r="AC22" s="2" cm="1">
        <f t="array" ref="AC22">SUM(((Y22+$B$3:$B$12*Z22)-$C$3:$C$12))</f>
        <v>-4.6567195492595665</v>
      </c>
      <c r="AD22" s="3" cm="1">
        <f t="array" ref="AD22">SUM(((Y22+$B$3:$B$12*Z22)-$C$3:$C$12)*$B$3:$B$12)</f>
        <v>0.6693746641129994</v>
      </c>
    </row>
    <row r="23" spans="25:30" x14ac:dyDescent="0.3">
      <c r="Y23" s="1">
        <f t="shared" si="8"/>
        <v>0.70632073391604444</v>
      </c>
      <c r="Z23" s="1">
        <f t="shared" si="9"/>
        <v>2.7791413894318491</v>
      </c>
      <c r="AA23">
        <f t="shared" si="10"/>
        <v>3.0000000000000001E-3</v>
      </c>
      <c r="AB23" s="2" cm="1">
        <f t="array" ref="AB23">1/10*SUM(((Y23+$B$3:$B$12*Z23)-$C$3:$C$12)^2)</f>
        <v>17.700388579838371</v>
      </c>
      <c r="AC23" s="2" cm="1">
        <f t="array" ref="AC23">SUM(((Y23+$B$3:$B$12*Z23)-$C$3:$C$12))</f>
        <v>-4.6214404103834097</v>
      </c>
      <c r="AD23" s="3" cm="1">
        <f t="array" ref="AD23">SUM(((Y23+$B$3:$B$12*Z23)-$C$3:$C$12)*$B$3:$B$12)</f>
        <v>0.66430350586824138</v>
      </c>
    </row>
    <row r="24" spans="25:30" x14ac:dyDescent="0.3">
      <c r="Y24" s="1">
        <f t="shared" ref="Y24:Y87" si="11">Y23-AA23*AC23</f>
        <v>0.72018505514719466</v>
      </c>
      <c r="Z24" s="1">
        <f t="shared" ref="Z24:Z87" si="12">Z23-AA23*AD23</f>
        <v>2.7771484789142442</v>
      </c>
      <c r="AA24">
        <f t="shared" ref="AA24:AA87" si="13">AA23</f>
        <v>3.0000000000000001E-3</v>
      </c>
      <c r="AB24" s="2" cm="1">
        <f t="array" ref="AB24">1/10*SUM(((Y24+$B$3:$B$12*Z24)-$C$3:$C$12)^2)</f>
        <v>17.687358718024381</v>
      </c>
      <c r="AC24" s="2" cm="1">
        <f t="array" ref="AC24">SUM(((Y24+$B$3:$B$12*Z24)-$C$3:$C$12))</f>
        <v>-4.5864285449873616</v>
      </c>
      <c r="AD24" s="3" cm="1">
        <f t="array" ref="AD24">SUM(((Y24+$B$3:$B$12*Z24)-$C$3:$C$12)*$B$3:$B$12)</f>
        <v>0.65927076653494265</v>
      </c>
    </row>
    <row r="25" spans="25:30" x14ac:dyDescent="0.3">
      <c r="Y25" s="1">
        <f t="shared" si="11"/>
        <v>0.73394434078215676</v>
      </c>
      <c r="Z25" s="1">
        <f t="shared" si="12"/>
        <v>2.7751706666146392</v>
      </c>
      <c r="AA25">
        <f t="shared" si="13"/>
        <v>3.0000000000000001E-3</v>
      </c>
      <c r="AB25" s="2" cm="1">
        <f t="array" ref="AB25">1/10*SUM(((Y25+$B$3:$B$12*Z25)-$C$3:$C$12)^2)</f>
        <v>17.674525535882154</v>
      </c>
      <c r="AC25" s="2" cm="1">
        <f t="array" ref="AC25">SUM(((Y25+$B$3:$B$12*Z25)-$C$3:$C$12))</f>
        <v>-4.551681928217203</v>
      </c>
      <c r="AD25" s="3" cm="1">
        <f t="array" ref="AD25">SUM(((Y25+$B$3:$B$12*Z25)-$C$3:$C$12)*$B$3:$B$12)</f>
        <v>0.65427615505283709</v>
      </c>
    </row>
    <row r="26" spans="25:30" x14ac:dyDescent="0.3">
      <c r="Y26" s="1">
        <f t="shared" si="11"/>
        <v>0.74759938656680835</v>
      </c>
      <c r="Z26" s="1">
        <f t="shared" si="12"/>
        <v>2.7732078381494807</v>
      </c>
      <c r="AA26">
        <f t="shared" si="13"/>
        <v>3.0000000000000001E-3</v>
      </c>
      <c r="AB26" s="2" cm="1">
        <f t="array" ref="AB26">1/10*SUM(((Y26+$B$3:$B$12*Z26)-$C$3:$C$12)^2)</f>
        <v>17.661886064624003</v>
      </c>
      <c r="AC26" s="2" cm="1">
        <f t="array" ref="AC26">SUM(((Y26+$B$3:$B$12*Z26)-$C$3:$C$12))</f>
        <v>-4.5171985505589252</v>
      </c>
      <c r="AD26" s="3" cm="1">
        <f t="array" ref="AD26">SUM(((Y26+$B$3:$B$12*Z26)-$C$3:$C$12)*$B$3:$B$12)</f>
        <v>0.64931938256682598</v>
      </c>
    </row>
    <row r="27" spans="25:30" x14ac:dyDescent="0.3">
      <c r="Y27" s="1">
        <f t="shared" si="11"/>
        <v>0.76115098221848509</v>
      </c>
      <c r="Z27" s="1">
        <f t="shared" si="12"/>
        <v>2.77125988000178</v>
      </c>
      <c r="AA27">
        <f t="shared" si="13"/>
        <v>3.0000000000000001E-3</v>
      </c>
      <c r="AB27" s="2" cm="1">
        <f t="array" ref="AB27">1/10*SUM(((Y27+$B$3:$B$12*Z27)-$C$3:$C$12)^2)</f>
        <v>17.649437380274705</v>
      </c>
      <c r="AC27" s="2" cm="1">
        <f t="array" ref="AC27">SUM(((Y27+$B$3:$B$12*Z27)-$C$3:$C$12))</f>
        <v>-4.4829764177225933</v>
      </c>
      <c r="AD27" s="3" cm="1">
        <f t="array" ref="AD27">SUM(((Y27+$B$3:$B$12*Z27)-$C$3:$C$12)*$B$3:$B$12)</f>
        <v>0.64440016240961562</v>
      </c>
    </row>
    <row r="28" spans="25:30" x14ac:dyDescent="0.3">
      <c r="Y28" s="1">
        <f t="shared" si="11"/>
        <v>0.77459991147165286</v>
      </c>
      <c r="Z28" s="1">
        <f t="shared" si="12"/>
        <v>2.7693266795145512</v>
      </c>
      <c r="AA28">
        <f t="shared" si="13"/>
        <v>3.0000000000000001E-3</v>
      </c>
      <c r="AB28" s="2" cm="1">
        <f t="array" ref="AB28">1/10*SUM(((Y28+$B$3:$B$12*Z28)-$C$3:$C$12)^2)</f>
        <v>17.637176602995073</v>
      </c>
      <c r="AC28" s="2" cm="1">
        <f t="array" ref="AC28">SUM(((Y28+$B$3:$B$12*Z28)-$C$3:$C$12))</f>
        <v>-4.4490135505268089</v>
      </c>
      <c r="AD28" s="3" cm="1">
        <f t="array" ref="AD28">SUM(((Y28+$B$3:$B$12*Z28)-$C$3:$C$12)*$B$3:$B$12)</f>
        <v>0.63951821008665555</v>
      </c>
    </row>
    <row r="29" spans="25:30" x14ac:dyDescent="0.3">
      <c r="Y29" s="1">
        <f t="shared" si="11"/>
        <v>0.78794695212323329</v>
      </c>
      <c r="Z29" s="1">
        <f t="shared" si="12"/>
        <v>2.7674081248842914</v>
      </c>
      <c r="AA29">
        <f t="shared" si="13"/>
        <v>3.0000000000000001E-3</v>
      </c>
      <c r="AB29" s="2" cm="1">
        <f t="array" ref="AB29">1/10*SUM(((Y29+$B$3:$B$12*Z29)-$C$3:$C$12)^2)</f>
        <v>17.625100896415766</v>
      </c>
      <c r="AC29" s="2" cm="1">
        <f t="array" ref="AC29">SUM(((Y29+$B$3:$B$12*Z29)-$C$3:$C$12))</f>
        <v>-4.4153079847845191</v>
      </c>
      <c r="AD29" s="3" cm="1">
        <f t="array" ref="AD29">SUM(((Y29+$B$3:$B$12*Z29)-$C$3:$C$12)*$B$3:$B$12)</f>
        <v>0.63467324325775998</v>
      </c>
    </row>
    <row r="30" spans="25:30" x14ac:dyDescent="0.3">
      <c r="Y30" s="1">
        <f t="shared" si="11"/>
        <v>0.80119287607758682</v>
      </c>
      <c r="Z30" s="1">
        <f t="shared" si="12"/>
        <v>2.7655041051545179</v>
      </c>
      <c r="AA30">
        <f t="shared" si="13"/>
        <v>3.0000000000000001E-3</v>
      </c>
      <c r="AB30" s="2" cm="1">
        <f t="array" ref="AB30">1/10*SUM(((Y30+$B$3:$B$12*Z30)-$C$3:$C$12)^2)</f>
        <v>17.61320746698107</v>
      </c>
      <c r="AC30" s="2" cm="1">
        <f t="array" ref="AC30">SUM(((Y30+$B$3:$B$12*Z30)-$C$3:$C$12))</f>
        <v>-4.3818577711892086</v>
      </c>
      <c r="AD30" s="3" cm="1">
        <f t="array" ref="AD30">SUM(((Y30+$B$3:$B$12*Z30)-$C$3:$C$12)*$B$3:$B$12)</f>
        <v>0.62986498172222904</v>
      </c>
    </row>
    <row r="31" spans="25:30" x14ac:dyDescent="0.3">
      <c r="Y31" s="1">
        <f t="shared" si="11"/>
        <v>0.81433844939115441</v>
      </c>
      <c r="Z31" s="1">
        <f t="shared" si="12"/>
        <v>2.7636145102093512</v>
      </c>
      <c r="AA31">
        <f t="shared" si="13"/>
        <v>3.0000000000000001E-3</v>
      </c>
      <c r="AB31" s="2" cm="1">
        <f t="array" ref="AB31">1/10*SUM(((Y31+$B$3:$B$12*Z31)-$C$3:$C$12)^2)</f>
        <v>17.601493563302739</v>
      </c>
      <c r="AC31" s="2" cm="1">
        <f t="array" ref="AC31">SUM(((Y31+$B$3:$B$12*Z31)-$C$3:$C$12))</f>
        <v>-4.348660975202197</v>
      </c>
      <c r="AD31" s="3" cm="1">
        <f t="array" ref="AD31">SUM(((Y31+$B$3:$B$12*Z31)-$C$3:$C$12)*$B$3:$B$12)</f>
        <v>0.62509314740245436</v>
      </c>
    </row>
    <row r="32" spans="25:30" x14ac:dyDescent="0.3">
      <c r="Y32" s="1">
        <f t="shared" si="11"/>
        <v>0.82738443231676095</v>
      </c>
      <c r="Z32" s="1">
        <f t="shared" si="12"/>
        <v>2.761739230767144</v>
      </c>
      <c r="AA32">
        <f t="shared" si="13"/>
        <v>3.0000000000000001E-3</v>
      </c>
      <c r="AB32" s="2" cm="1">
        <f t="array" ref="AB32">1/10*SUM(((Y32+$B$3:$B$12*Z32)-$C$3:$C$12)^2)</f>
        <v>17.589956475523405</v>
      </c>
      <c r="AC32" s="2" cm="1">
        <f t="array" ref="AC32">SUM(((Y32+$B$3:$B$12*Z32)-$C$3:$C$12))</f>
        <v>-4.3157156769408953</v>
      </c>
      <c r="AD32" s="3" cm="1">
        <f t="array" ref="AD32">SUM(((Y32+$B$3:$B$12*Z32)-$C$3:$C$12)*$B$3:$B$12)</f>
        <v>0.6203574643268478</v>
      </c>
    </row>
    <row r="33" spans="25:30" x14ac:dyDescent="0.3">
      <c r="Y33" s="1">
        <f t="shared" si="11"/>
        <v>0.84033157934758362</v>
      </c>
      <c r="Z33" s="1">
        <f t="shared" si="12"/>
        <v>2.7598781583741636</v>
      </c>
      <c r="AA33">
        <f t="shared" si="13"/>
        <v>3.0000000000000001E-3</v>
      </c>
      <c r="AB33" s="2" cm="1">
        <f t="array" ref="AB33">1/10*SUM(((Y33+$B$3:$B$12*Z33)-$C$3:$C$12)^2)</f>
        <v>17.578593534689752</v>
      </c>
      <c r="AC33" s="2" cm="1">
        <f t="array" ref="AC33">SUM(((Y33+$B$3:$B$12*Z33)-$C$3:$C$12))</f>
        <v>-4.283019971067656</v>
      </c>
      <c r="AD33" s="3" cm="1">
        <f t="array" ref="AD33">SUM(((Y33+$B$3:$B$12*Z33)-$C$3:$C$12)*$B$3:$B$12)</f>
        <v>0.61565765861466515</v>
      </c>
    </row>
    <row r="34" spans="25:30" x14ac:dyDescent="0.3">
      <c r="Y34" s="1">
        <f t="shared" si="11"/>
        <v>0.85318063926078658</v>
      </c>
      <c r="Z34" s="1">
        <f t="shared" si="12"/>
        <v>2.7580311853983197</v>
      </c>
      <c r="AA34">
        <f t="shared" si="13"/>
        <v>3.0000000000000001E-3</v>
      </c>
      <c r="AB34" s="2" cm="1">
        <f t="array" ref="AB34">1/10*SUM(((Y34+$B$3:$B$12*Z34)-$C$3:$C$12)^2)</f>
        <v>17.56740211213506</v>
      </c>
      <c r="AC34" s="2" cm="1">
        <f t="array" ref="AC34">SUM(((Y34+$B$3:$B$12*Z34)-$C$3:$C$12))</f>
        <v>-4.2505719666795185</v>
      </c>
      <c r="AD34" s="3" cm="1">
        <f t="array" ref="AD34">SUM(((Y34+$B$3:$B$12*Z34)-$C$3:$C$12)*$B$3:$B$12)</f>
        <v>0.61099345846074371</v>
      </c>
    </row>
    <row r="35" spans="25:30" x14ac:dyDescent="0.3">
      <c r="Y35" s="1">
        <f t="shared" si="11"/>
        <v>0.86593235516082512</v>
      </c>
      <c r="Z35" s="1">
        <f t="shared" si="12"/>
        <v>2.7561982050229377</v>
      </c>
      <c r="AA35">
        <f t="shared" si="13"/>
        <v>3.0000000000000001E-3</v>
      </c>
      <c r="AB35" s="2" cm="1">
        <f t="array" ref="AB35">1/10*SUM(((Y35+$B$3:$B$12*Z35)-$C$3:$C$12)^2)</f>
        <v>17.556379618871087</v>
      </c>
      <c r="AC35" s="2" cm="1">
        <f t="array" ref="AC35">SUM(((Y35+$B$3:$B$12*Z35)-$C$3:$C$12))</f>
        <v>-4.2183697871989896</v>
      </c>
      <c r="AD35" s="3" cm="1">
        <f t="array" ref="AD35">SUM(((Y35+$B$3:$B$12*Z35)-$C$3:$C$12)*$B$3:$B$12)</f>
        <v>0.60636459411863264</v>
      </c>
    </row>
    <row r="36" spans="25:30" x14ac:dyDescent="0.3">
      <c r="Y36" s="1">
        <f t="shared" si="11"/>
        <v>0.87858746452242209</v>
      </c>
      <c r="Z36" s="1">
        <f t="shared" si="12"/>
        <v>2.7543791112405818</v>
      </c>
      <c r="AA36">
        <f t="shared" si="13"/>
        <v>3.0000000000000001E-3</v>
      </c>
      <c r="AB36" s="2" cm="1">
        <f t="array" ref="AB36">1/10*SUM(((Y36+$B$3:$B$12*Z36)-$C$3:$C$12)^2)</f>
        <v>17.545523504989212</v>
      </c>
      <c r="AC36" s="2" cm="1">
        <f t="array" ref="AC36">SUM(((Y36+$B$3:$B$12*Z36)-$C$3:$C$12))</f>
        <v>-4.1864115702655305</v>
      </c>
      <c r="AD36" s="3" cm="1">
        <f t="array" ref="AD36">SUM(((Y36+$B$3:$B$12*Z36)-$C$3:$C$12)*$B$3:$B$12)</f>
        <v>0.60177079788505516</v>
      </c>
    </row>
    <row r="37" spans="25:30" x14ac:dyDescent="0.3">
      <c r="Y37" s="1">
        <f t="shared" si="11"/>
        <v>0.89114669923321865</v>
      </c>
      <c r="Z37" s="1">
        <f t="shared" si="12"/>
        <v>2.7525737988469268</v>
      </c>
      <c r="AA37">
        <f t="shared" si="13"/>
        <v>3.0000000000000001E-3</v>
      </c>
      <c r="AB37" s="2" cm="1">
        <f t="array" ref="AB37">1/10*SUM(((Y37+$B$3:$B$12*Z37)-$C$3:$C$12)^2)</f>
        <v>17.534831259070415</v>
      </c>
      <c r="AC37" s="2" cm="1">
        <f t="array" ref="AC37">SUM(((Y37+$B$3:$B$12*Z37)-$C$3:$C$12))</f>
        <v>-4.1546954676276275</v>
      </c>
      <c r="AD37" s="3" cm="1">
        <f t="array" ref="AD37">SUM(((Y37+$B$3:$B$12*Z37)-$C$3:$C$12)*$B$3:$B$12)</f>
        <v>0.59721180408579067</v>
      </c>
    </row>
    <row r="38" spans="25:30" x14ac:dyDescent="0.3">
      <c r="Y38" s="1">
        <f t="shared" si="11"/>
        <v>0.90361078563610153</v>
      </c>
      <c r="Z38" s="1">
        <f t="shared" si="12"/>
        <v>2.7507821634346694</v>
      </c>
      <c r="AA38">
        <f t="shared" si="13"/>
        <v>3.0000000000000001E-3</v>
      </c>
      <c r="AB38" s="2" cm="1">
        <f t="array" ref="AB38">1/10*SUM(((Y38+$B$3:$B$12*Z38)-$C$3:$C$12)^2)</f>
        <v>17.524300407604436</v>
      </c>
      <c r="AC38" s="2" cm="1">
        <f t="array" ref="AC38">SUM(((Y38+$B$3:$B$12*Z38)-$C$3:$C$12))</f>
        <v>-4.1232196450361851</v>
      </c>
      <c r="AD38" s="3" cm="1">
        <f t="array" ref="AD38">SUM(((Y38+$B$3:$B$12*Z38)-$C$3:$C$12)*$B$3:$B$12)</f>
        <v>0.59268734905856701</v>
      </c>
    </row>
    <row r="39" spans="25:30" x14ac:dyDescent="0.3">
      <c r="Y39" s="1">
        <f t="shared" si="11"/>
        <v>0.91598044457121008</v>
      </c>
      <c r="Z39" s="1">
        <f t="shared" si="12"/>
        <v>2.7490041013874937</v>
      </c>
      <c r="AA39">
        <f t="shared" si="13"/>
        <v>3.0000000000000001E-3</v>
      </c>
      <c r="AB39" s="2" cm="1">
        <f t="array" ref="AB39">1/10*SUM(((Y39+$B$3:$B$12*Z39)-$C$3:$C$12)^2)</f>
        <v>17.513928514417479</v>
      </c>
      <c r="AC39" s="2" cm="1">
        <f t="array" ref="AC39">SUM(((Y39+$B$3:$B$12*Z39)-$C$3:$C$12))</f>
        <v>-4.0919822821382228</v>
      </c>
      <c r="AD39" s="3" cm="1">
        <f t="array" ref="AD39">SUM(((Y39+$B$3:$B$12*Z39)-$C$3:$C$12)*$B$3:$B$12)</f>
        <v>0.58819717113916137</v>
      </c>
    </row>
    <row r="40" spans="25:30" x14ac:dyDescent="0.3">
      <c r="Y40" s="1">
        <f t="shared" si="11"/>
        <v>0.92825639141762473</v>
      </c>
      <c r="Z40" s="1">
        <f t="shared" si="12"/>
        <v>2.7472395098740763</v>
      </c>
      <c r="AA40">
        <f t="shared" si="13"/>
        <v>3.0000000000000001E-3</v>
      </c>
      <c r="AB40" s="2" cm="1">
        <f t="array" ref="AB40">1/10*SUM(((Y40+$B$3:$B$12*Z40)-$C$3:$C$12)^2)</f>
        <v>17.50371318010863</v>
      </c>
      <c r="AC40" s="2" cm="1">
        <f t="array" ref="AC40">SUM(((Y40+$B$3:$B$12*Z40)-$C$3:$C$12))</f>
        <v>-4.0609815723717908</v>
      </c>
      <c r="AD40" s="3" cm="1">
        <f t="array" ref="AD40">SUM(((Y40+$B$3:$B$12*Z40)-$C$3:$C$12)*$B$3:$B$12)</f>
        <v>0.58374101064495809</v>
      </c>
    </row>
    <row r="41" spans="25:30" x14ac:dyDescent="0.3">
      <c r="Y41" s="1">
        <f t="shared" si="11"/>
        <v>0.94043933613474007</v>
      </c>
      <c r="Z41" s="1">
        <f t="shared" si="12"/>
        <v>2.7454882868421415</v>
      </c>
      <c r="AA41">
        <f t="shared" si="13"/>
        <v>3.0000000000000001E-3</v>
      </c>
      <c r="AB41" s="2" cm="1">
        <f t="array" ref="AB41">1/10*SUM(((Y41+$B$3:$B$12*Z41)-$C$3:$C$12)^2)</f>
        <v>17.493652041494819</v>
      </c>
      <c r="AC41" s="2" cm="1">
        <f t="array" ref="AC41">SUM(((Y41+$B$3:$B$12*Z41)-$C$3:$C$12))</f>
        <v>-4.030215722861243</v>
      </c>
      <c r="AD41" s="3" cm="1">
        <f t="array" ref="AD41">SUM(((Y41+$B$3:$B$12*Z41)-$C$3:$C$12)*$B$3:$B$12)</f>
        <v>0.57931860986176387</v>
      </c>
    </row>
    <row r="42" spans="25:30" x14ac:dyDescent="0.3">
      <c r="Y42" s="1">
        <f t="shared" si="11"/>
        <v>0.95252998330332384</v>
      </c>
      <c r="Z42" s="1">
        <f t="shared" si="12"/>
        <v>2.7437503310125564</v>
      </c>
      <c r="AA42">
        <f t="shared" si="13"/>
        <v>3.0000000000000001E-3</v>
      </c>
      <c r="AB42" s="2" cm="1">
        <f t="array" ref="AB42">1/10*SUM(((Y42+$B$3:$B$12*Z42)-$C$3:$C$12)^2)</f>
        <v>17.48374277106414</v>
      </c>
      <c r="AC42" s="2" cm="1">
        <f t="array" ref="AC42">SUM(((Y42+$B$3:$B$12*Z42)-$C$3:$C$12))</f>
        <v>-3.9996829543138293</v>
      </c>
      <c r="AD42" s="3" cm="1">
        <f t="array" ref="AD42">SUM(((Y42+$B$3:$B$12*Z42)-$C$3:$C$12)*$B$3:$B$12)</f>
        <v>0.57492971302689178</v>
      </c>
    </row>
    <row r="43" spans="25:30" x14ac:dyDescent="0.3">
      <c r="Y43" s="1">
        <f t="shared" si="11"/>
        <v>0.96452903216626529</v>
      </c>
      <c r="Z43" s="1">
        <f t="shared" si="12"/>
        <v>2.7420255418734758</v>
      </c>
      <c r="AA43">
        <f t="shared" si="13"/>
        <v>3.0000000000000001E-3</v>
      </c>
      <c r="AB43" s="2" cm="1">
        <f t="array" ref="AB43">1/10*SUM(((Y43+$B$3:$B$12*Z43)-$C$3:$C$12)^2)</f>
        <v>17.473983076437381</v>
      </c>
      <c r="AC43" s="2" cm="1">
        <f t="array" ref="AC43">SUM(((Y43+$B$3:$B$12*Z43)-$C$3:$C$12))</f>
        <v>-3.9693815009166107</v>
      </c>
      <c r="AD43" s="3" cm="1">
        <f t="array" ref="AD43">SUM(((Y43+$B$3:$B$12*Z43)-$C$3:$C$12)*$B$3:$B$12)</f>
        <v>0.57057406631550611</v>
      </c>
    </row>
    <row r="44" spans="25:30" x14ac:dyDescent="0.3">
      <c r="Y44" s="1">
        <f t="shared" si="11"/>
        <v>0.97643717666901508</v>
      </c>
      <c r="Z44" s="1">
        <f t="shared" si="12"/>
        <v>2.7403138196745291</v>
      </c>
      <c r="AA44">
        <f t="shared" si="13"/>
        <v>3.0000000000000001E-3</v>
      </c>
      <c r="AB44" s="2" cm="1">
        <f t="array" ref="AB44">1/10*SUM(((Y44+$B$3:$B$12*Z44)-$C$3:$C$12)^2)</f>
        <v>17.464370699837701</v>
      </c>
      <c r="AC44" s="2" cm="1">
        <f t="array" ref="AC44">SUM(((Y44+$B$3:$B$12*Z44)-$C$3:$C$12))</f>
        <v>-3.9393096102343295</v>
      </c>
      <c r="AD44" s="3" cm="1">
        <f t="array" ref="AD44">SUM(((Y44+$B$3:$B$12*Z44)-$C$3:$C$12)*$B$3:$B$12)</f>
        <v>0.56625141782629662</v>
      </c>
    </row>
    <row r="45" spans="25:30" x14ac:dyDescent="0.3">
      <c r="Y45" s="1">
        <f t="shared" si="11"/>
        <v>0.98825510549971807</v>
      </c>
      <c r="Z45" s="1">
        <f t="shared" si="12"/>
        <v>2.7386150654210502</v>
      </c>
      <c r="AA45">
        <f t="shared" si="13"/>
        <v>3.0000000000000001E-3</v>
      </c>
      <c r="AB45" s="2" cm="1">
        <f t="array" ref="AB45">1/10*SUM(((Y45+$B$3:$B$12*Z45)-$C$3:$C$12)^2)</f>
        <v>17.454903417568385</v>
      </c>
      <c r="AC45" s="2" cm="1">
        <f t="array" ref="AC45">SUM(((Y45+$B$3:$B$12*Z45)-$C$3:$C$12))</f>
        <v>-3.9094655431082104</v>
      </c>
      <c r="AD45" s="3" cm="1">
        <f t="array" ref="AD45">SUM(((Y45+$B$3:$B$12*Z45)-$C$3:$C$12)*$B$3:$B$12)</f>
        <v>0.56196151756550172</v>
      </c>
    </row>
    <row r="46" spans="25:30" x14ac:dyDescent="0.3">
      <c r="Y46" s="1">
        <f t="shared" si="11"/>
        <v>0.99998350212904275</v>
      </c>
      <c r="Z46" s="1">
        <f t="shared" si="12"/>
        <v>2.7369291808683536</v>
      </c>
      <c r="AA46">
        <f t="shared" si="13"/>
        <v>3.0000000000000001E-3</v>
      </c>
      <c r="AB46" s="2" cm="1">
        <f t="array" ref="AB46">1/10*SUM(((Y46+$B$3:$B$12*Z46)-$C$3:$C$12)^2)</f>
        <v>17.445579039498337</v>
      </c>
      <c r="AC46" s="2" cm="1">
        <f t="array" ref="AC46">SUM(((Y46+$B$3:$B$12*Z46)-$C$3:$C$12))</f>
        <v>-3.8798475735551872</v>
      </c>
      <c r="AD46" s="3" cm="1">
        <f t="array" ref="AD46">SUM(((Y46+$B$3:$B$12*Z46)-$C$3:$C$12)*$B$3:$B$12)</f>
        <v>0.55770411743407777</v>
      </c>
    </row>
    <row r="47" spans="25:30" x14ac:dyDescent="0.3">
      <c r="Y47" s="1">
        <f t="shared" si="11"/>
        <v>1.0116230448497083</v>
      </c>
      <c r="Z47" s="1">
        <f t="shared" si="12"/>
        <v>2.7352560685160512</v>
      </c>
      <c r="AA47">
        <f t="shared" si="13"/>
        <v>3.0000000000000001E-3</v>
      </c>
      <c r="AB47" s="2" cm="1">
        <f t="array" ref="AB47">1/10*SUM(((Y47+$B$3:$B$12*Z47)-$C$3:$C$12)^2)</f>
        <v>17.436395408555502</v>
      </c>
      <c r="AC47" s="2" cm="1">
        <f t="array" ref="AC47">SUM(((Y47+$B$3:$B$12*Z47)-$C$3:$C$12))</f>
        <v>-3.8504539886682476</v>
      </c>
      <c r="AD47" s="3" cm="1">
        <f t="array" ref="AD47">SUM(((Y47+$B$3:$B$12*Z47)-$C$3:$C$12)*$B$3:$B$12)</f>
        <v>0.55347897121200373</v>
      </c>
    </row>
    <row r="48" spans="25:30" x14ac:dyDescent="0.3">
      <c r="Y48" s="1">
        <f t="shared" si="11"/>
        <v>1.0231744068157131</v>
      </c>
      <c r="Z48" s="1">
        <f t="shared" si="12"/>
        <v>2.733595631602415</v>
      </c>
      <c r="AA48">
        <f t="shared" si="13"/>
        <v>3.0000000000000001E-3</v>
      </c>
      <c r="AB48" s="2" cm="1">
        <f t="array" ref="AB48">1/10*SUM(((Y48+$B$3:$B$12*Z48)-$C$3:$C$12)^2)</f>
        <v>17.42735040022778</v>
      </c>
      <c r="AC48" s="2" cm="1">
        <f t="array" ref="AC48">SUM(((Y48+$B$3:$B$12*Z48)-$C$3:$C$12))</f>
        <v>-3.8212830885172924</v>
      </c>
      <c r="AD48" s="3" cm="1">
        <f t="array" ref="AD48">SUM(((Y48+$B$3:$B$12*Z48)-$C$3:$C$12)*$B$3:$B$12)</f>
        <v>0.54928583454478852</v>
      </c>
    </row>
    <row r="49" spans="25:30" x14ac:dyDescent="0.3">
      <c r="Y49" s="1">
        <f t="shared" si="11"/>
        <v>1.034638256081265</v>
      </c>
      <c r="Z49" s="1">
        <f t="shared" si="12"/>
        <v>2.7319477740987805</v>
      </c>
      <c r="AA49">
        <f t="shared" si="13"/>
        <v>3.0000000000000001E-3</v>
      </c>
      <c r="AB49" s="2" cm="1">
        <f t="array" ref="AB49">1/10*SUM(((Y49+$B$3:$B$12*Z49)-$C$3:$C$12)^2)</f>
        <v>17.418441922071636</v>
      </c>
      <c r="AC49" s="2" cm="1">
        <f t="array" ref="AC49">SUM(((Y49+$B$3:$B$12*Z49)-$C$3:$C$12))</f>
        <v>-3.7923331860507572</v>
      </c>
      <c r="AD49" s="3" cm="1">
        <f t="array" ref="AD49">SUM(((Y49+$B$3:$B$12*Z49)-$C$3:$C$12)*$B$3:$B$12)</f>
        <v>0.54512446492959654</v>
      </c>
    </row>
    <row r="50" spans="25:30" x14ac:dyDescent="0.3">
      <c r="Y50" s="1">
        <f t="shared" si="11"/>
        <v>1.0460152556394173</v>
      </c>
      <c r="Z50" s="1">
        <f t="shared" si="12"/>
        <v>2.7303124007039918</v>
      </c>
      <c r="AA50">
        <f t="shared" si="13"/>
        <v>3.0000000000000001E-3</v>
      </c>
      <c r="AB50" s="2" cm="1">
        <f t="array" ref="AB50">1/10*SUM(((Y50+$B$3:$B$12*Z50)-$C$3:$C$12)^2)</f>
        <v>17.40966791322796</v>
      </c>
      <c r="AC50" s="2" cm="1">
        <f t="array" ref="AC50">SUM(((Y50+$B$3:$B$12*Z50)-$C$3:$C$12))</f>
        <v>-3.763602606998254</v>
      </c>
      <c r="AD50" s="3" cm="1">
        <f t="array" ref="AD50">SUM(((Y50+$B$3:$B$12*Z50)-$C$3:$C$12)*$B$3:$B$12)</f>
        <v>0.54099462169983137</v>
      </c>
    </row>
    <row r="51" spans="25:30" x14ac:dyDescent="0.3">
      <c r="Y51" s="1">
        <f t="shared" si="11"/>
        <v>1.0573060634604121</v>
      </c>
      <c r="Z51" s="1">
        <f t="shared" si="12"/>
        <v>2.7286894168388924</v>
      </c>
      <c r="AA51">
        <f t="shared" si="13"/>
        <v>3.0000000000000001E-3</v>
      </c>
      <c r="AB51" s="2" cm="1">
        <f t="array" ref="AB51">1/10*SUM(((Y51+$B$3:$B$12*Z51)-$C$3:$C$12)^2)</f>
        <v>17.401026343945347</v>
      </c>
      <c r="AC51" s="2" cm="1">
        <f t="array" ref="AC51">SUM(((Y51+$B$3:$B$12*Z51)-$C$3:$C$12))</f>
        <v>-3.7350896897734716</v>
      </c>
      <c r="AD51" s="3" cm="1">
        <f t="array" ref="AD51">SUM(((Y51+$B$3:$B$12*Z51)-$C$3:$C$12)*$B$3:$B$12)</f>
        <v>0.53689606601315554</v>
      </c>
    </row>
    <row r="52" spans="25:30" x14ac:dyDescent="0.3">
      <c r="Y52" s="1">
        <f t="shared" si="11"/>
        <v>1.0685113325297326</v>
      </c>
      <c r="Z52" s="1">
        <f t="shared" si="12"/>
        <v>2.7270787286408531</v>
      </c>
      <c r="AA52">
        <f t="shared" si="13"/>
        <v>3.0000000000000001E-3</v>
      </c>
      <c r="AB52" s="2" cm="1">
        <f t="array" ref="AB52">1/10*SUM(((Y52+$B$3:$B$12*Z52)-$C$3:$C$12)^2)</f>
        <v>17.39251521511056</v>
      </c>
      <c r="AC52" s="2" cm="1">
        <f t="array" ref="AC52">SUM(((Y52+$B$3:$B$12*Z52)-$C$3:$C$12))</f>
        <v>-3.7067927853783194</v>
      </c>
      <c r="AD52" s="3" cm="1">
        <f t="array" ref="AD52">SUM(((Y52+$B$3:$B$12*Z52)-$C$3:$C$12)*$B$3:$B$12)</f>
        <v>0.53282856083601149</v>
      </c>
    </row>
    <row r="53" spans="25:30" x14ac:dyDescent="0.3">
      <c r="Y53" s="1">
        <f t="shared" si="11"/>
        <v>1.0796317108858675</v>
      </c>
      <c r="Z53" s="1">
        <f t="shared" si="12"/>
        <v>2.7254802429583451</v>
      </c>
      <c r="AA53">
        <f t="shared" si="13"/>
        <v>3.0000000000000001E-3</v>
      </c>
      <c r="AB53" s="2" cm="1">
        <f t="array" ref="AB53">1/10*SUM(((Y53+$B$3:$B$12*Z53)-$C$3:$C$12)^2)</f>
        <v>17.384132557786003</v>
      </c>
      <c r="AC53" s="2" cm="1">
        <f t="array" ref="AC53">SUM(((Y53+$B$3:$B$12*Z53)-$C$3:$C$12))</f>
        <v>-3.6787102573073907</v>
      </c>
      <c r="AD53" s="3" cm="1">
        <f t="array" ref="AD53">SUM(((Y53+$B$3:$B$12*Z53)-$C$3:$C$12)*$B$3:$B$12)</f>
        <v>0.5287918709309668</v>
      </c>
    </row>
    <row r="54" spans="25:30" x14ac:dyDescent="0.3">
      <c r="Y54" s="1">
        <f t="shared" si="11"/>
        <v>1.0906678416577897</v>
      </c>
      <c r="Z54" s="1">
        <f t="shared" si="12"/>
        <v>2.7238938673455522</v>
      </c>
      <c r="AA54">
        <f t="shared" si="13"/>
        <v>3.0000000000000001E-3</v>
      </c>
      <c r="AB54" s="2" cm="1">
        <f t="array" ref="AB54">1/10*SUM(((Y54+$B$3:$B$12*Z54)-$C$3:$C$12)^2)</f>
        <v>17.375876432754325</v>
      </c>
      <c r="AC54" s="2" cm="1">
        <f t="array" ref="AC54">SUM(((Y54+$B$3:$B$12*Z54)-$C$3:$C$12))</f>
        <v>-3.6508404814533906</v>
      </c>
      <c r="AD54" s="3" cm="1">
        <f t="array" ref="AD54">SUM(((Y54+$B$3:$B$12*Z54)-$C$3:$C$12)*$B$3:$B$12)</f>
        <v>0.52478576284279788</v>
      </c>
    </row>
    <row r="55" spans="25:30" x14ac:dyDescent="0.3">
      <c r="Y55" s="1">
        <f t="shared" si="11"/>
        <v>1.1016203631021499</v>
      </c>
      <c r="Z55" s="1">
        <f t="shared" si="12"/>
        <v>2.7223195100570239</v>
      </c>
      <c r="AA55">
        <f t="shared" si="13"/>
        <v>3.0000000000000001E-3</v>
      </c>
      <c r="AB55" s="2" cm="1">
        <f t="array" ref="AB55">1/10*SUM(((Y55+$B$3:$B$12*Z55)-$C$3:$C$12)^2)</f>
        <v>17.367744930069716</v>
      </c>
      <c r="AC55" s="2" cm="1">
        <f t="array" ref="AC55">SUM(((Y55+$B$3:$B$12*Z55)-$C$3:$C$12))</f>
        <v>-3.6231818460132619</v>
      </c>
      <c r="AD55" s="3" cm="1">
        <f t="array" ref="AD55">SUM(((Y55+$B$3:$B$12*Z55)-$C$3:$C$12)*$B$3:$B$12)</f>
        <v>0.52081000488442863</v>
      </c>
    </row>
    <row r="56" spans="25:30" x14ac:dyDescent="0.3">
      <c r="Y56" s="1">
        <f t="shared" si="11"/>
        <v>1.1124899086401898</v>
      </c>
      <c r="Z56" s="1">
        <f t="shared" si="12"/>
        <v>2.7207570800423704</v>
      </c>
      <c r="AA56">
        <f t="shared" si="13"/>
        <v>3.0000000000000001E-3</v>
      </c>
      <c r="AB56" s="2" cm="1">
        <f t="array" ref="AB56">1/10*SUM(((Y56+$B$3:$B$12*Z56)-$C$3:$C$12)^2)</f>
        <v>17.359736168616116</v>
      </c>
      <c r="AC56" s="2" cm="1">
        <f t="array" ref="AC56">SUM(((Y56+$B$3:$B$12*Z56)-$C$3:$C$12))</f>
        <v>-3.595732751394848</v>
      </c>
      <c r="AD56" s="3" cm="1">
        <f t="array" ref="AD56">SUM(((Y56+$B$3:$B$12*Z56)-$C$3:$C$12)*$B$3:$B$12)</f>
        <v>0.51686436712449035</v>
      </c>
    </row>
    <row r="57" spans="25:30" x14ac:dyDescent="0.3">
      <c r="Y57" s="1">
        <f t="shared" si="11"/>
        <v>1.1232771068943743</v>
      </c>
      <c r="Z57" s="1">
        <f t="shared" si="12"/>
        <v>2.7192064869409971</v>
      </c>
      <c r="AA57">
        <f t="shared" si="13"/>
        <v>3.0000000000000001E-3</v>
      </c>
      <c r="AB57" s="2" cm="1">
        <f t="array" ref="AB57">1/10*SUM(((Y57+$B$3:$B$12*Z57)-$C$3:$C$12)^2)</f>
        <v>17.351848295672031</v>
      </c>
      <c r="AC57" s="2" cm="1">
        <f t="array" ref="AC57">SUM(((Y57+$B$3:$B$12*Z57)-$C$3:$C$12))</f>
        <v>-3.5684916101244077</v>
      </c>
      <c r="AD57" s="3" cm="1">
        <f t="array" ref="AD57">SUM(((Y57+$B$3:$B$12*Z57)-$C$3:$C$12)*$B$3:$B$12)</f>
        <v>0.51294862137388642</v>
      </c>
    </row>
    <row r="58" spans="25:30" x14ac:dyDescent="0.3">
      <c r="Y58" s="1">
        <f t="shared" si="11"/>
        <v>1.1339825817247475</v>
      </c>
      <c r="Z58" s="1">
        <f t="shared" si="12"/>
        <v>2.7176676410768756</v>
      </c>
      <c r="AA58">
        <f t="shared" si="13"/>
        <v>3.0000000000000001E-3</v>
      </c>
      <c r="AB58" s="2" cm="1">
        <f t="array" ref="AB58">1/10*SUM(((Y58+$B$3:$B$12*Z58)-$C$3:$C$12)^2)</f>
        <v>17.344079486481931</v>
      </c>
      <c r="AC58" s="2" cm="1">
        <f t="array" ref="AC58">SUM(((Y58+$B$3:$B$12*Z58)-$C$3:$C$12))</f>
        <v>-3.5414568467549943</v>
      </c>
      <c r="AD58" s="3" cm="1">
        <f t="array" ref="AD58">SUM(((Y58+$B$3:$B$12*Z58)-$C$3:$C$12)*$B$3:$B$12)</f>
        <v>0.50906254117111516</v>
      </c>
    </row>
    <row r="59" spans="25:30" x14ac:dyDescent="0.3">
      <c r="Y59" s="1">
        <f t="shared" si="11"/>
        <v>1.1446069522650124</v>
      </c>
      <c r="Z59" s="1">
        <f t="shared" si="12"/>
        <v>2.7161404534533622</v>
      </c>
      <c r="AA59">
        <f t="shared" si="13"/>
        <v>3.0000000000000001E-3</v>
      </c>
      <c r="AB59" s="2" cm="1">
        <f t="array" ref="AB59">1/10*SUM(((Y59+$B$3:$B$12*Z59)-$C$3:$C$12)^2)</f>
        <v>17.336427943834135</v>
      </c>
      <c r="AC59" s="2" cm="1">
        <f t="array" ref="AC59">SUM(((Y59+$B$3:$B$12*Z59)-$C$3:$C$12))</f>
        <v>-3.514626897775047</v>
      </c>
      <c r="AD59" s="3" cm="1">
        <f t="array" ref="AD59">SUM(((Y59+$B$3:$B$12*Z59)-$C$3:$C$12)*$B$3:$B$12)</f>
        <v>0.50520590177137947</v>
      </c>
    </row>
    <row r="60" spans="25:30" x14ac:dyDescent="0.3">
      <c r="Y60" s="1">
        <f t="shared" si="11"/>
        <v>1.1551508329583375</v>
      </c>
      <c r="Z60" s="1">
        <f t="shared" si="12"/>
        <v>2.7146248357480482</v>
      </c>
      <c r="AA60">
        <f t="shared" si="13"/>
        <v>3.0000000000000001E-3</v>
      </c>
      <c r="AB60" s="2" cm="1">
        <f t="array" ref="AB60">1/10*SUM(((Y60+$B$3:$B$12*Z60)-$C$3:$C$12)^2)</f>
        <v>17.328891897645004</v>
      </c>
      <c r="AC60" s="2" cm="1">
        <f t="array" ref="AC60">SUM(((Y60+$B$3:$B$12*Z60)-$C$3:$C$12))</f>
        <v>-3.4880002115181163</v>
      </c>
      <c r="AD60" s="3" cm="1">
        <f t="array" ref="AD60">SUM(((Y60+$B$3:$B$12*Z60)-$C$3:$C$12)*$B$3:$B$12)</f>
        <v>0.50137848013255271</v>
      </c>
    </row>
    <row r="61" spans="25:30" x14ac:dyDescent="0.3">
      <c r="Y61" s="1">
        <f t="shared" si="11"/>
        <v>1.165614833592892</v>
      </c>
      <c r="Z61" s="1">
        <f t="shared" si="12"/>
        <v>2.7131207003076505</v>
      </c>
      <c r="AA61">
        <f t="shared" si="13"/>
        <v>3.0000000000000001E-3</v>
      </c>
      <c r="AB61" s="2" cm="1">
        <f t="array" ref="AB61">1/10*SUM(((Y61+$B$3:$B$12*Z61)-$C$3:$C$12)^2)</f>
        <v>17.321469604549492</v>
      </c>
      <c r="AC61" s="2" cm="1">
        <f t="array" ref="AC61">SUM(((Y61+$B$3:$B$12*Z61)-$C$3:$C$12))</f>
        <v>-3.4615752480732649</v>
      </c>
      <c r="AD61" s="3" cm="1">
        <f t="array" ref="AD61">SUM(((Y61+$B$3:$B$12*Z61)-$C$3:$C$12)*$B$3:$B$12)</f>
        <v>0.49758005490120638</v>
      </c>
    </row>
    <row r="62" spans="25:30" x14ac:dyDescent="0.3">
      <c r="Y62" s="1">
        <f t="shared" si="11"/>
        <v>1.1759995593371118</v>
      </c>
      <c r="Z62" s="1">
        <f t="shared" si="12"/>
        <v>2.7116279601429469</v>
      </c>
      <c r="AA62">
        <f t="shared" si="13"/>
        <v>3.0000000000000001E-3</v>
      </c>
      <c r="AB62" s="2" cm="1">
        <f t="array" ref="AB62">1/10*SUM(((Y62+$B$3:$B$12*Z62)-$C$3:$C$12)^2)</f>
        <v>17.314159347497849</v>
      </c>
      <c r="AC62" s="2" cm="1">
        <f t="array" ref="AC62">SUM(((Y62+$B$3:$B$12*Z62)-$C$3:$C$12))</f>
        <v>-3.4353504791956526</v>
      </c>
      <c r="AD62" s="3" cm="1">
        <f t="array" ref="AD62">SUM(((Y62+$B$3:$B$12*Z62)-$C$3:$C$12)*$B$3:$B$12)</f>
        <v>0.493810406402445</v>
      </c>
    </row>
    <row r="63" spans="25:30" x14ac:dyDescent="0.3">
      <c r="Y63" s="1">
        <f t="shared" si="11"/>
        <v>1.1863056107746988</v>
      </c>
      <c r="Z63" s="1">
        <f t="shared" si="12"/>
        <v>2.7101465289237394</v>
      </c>
      <c r="AA63">
        <f t="shared" si="13"/>
        <v>3.0000000000000001E-3</v>
      </c>
      <c r="AB63" s="2" cm="1">
        <f t="array" ref="AB63">1/10*SUM(((Y63+$B$3:$B$12*Z63)-$C$3:$C$12)^2)</f>
        <v>17.306959435358369</v>
      </c>
      <c r="AC63" s="2" cm="1">
        <f t="array" ref="AC63">SUM(((Y63+$B$3:$B$12*Z63)-$C$3:$C$12))</f>
        <v>-3.4093243882185646</v>
      </c>
      <c r="AD63" s="3" cm="1">
        <f t="array" ref="AD63">SUM(((Y63+$B$3:$B$12*Z63)-$C$3:$C$12)*$B$3:$B$12)</f>
        <v>0.49006931662411823</v>
      </c>
    </row>
    <row r="64" spans="25:30" x14ac:dyDescent="0.3">
      <c r="Y64" s="1">
        <f t="shared" si="11"/>
        <v>1.1965335839393545</v>
      </c>
      <c r="Z64" s="1">
        <f t="shared" si="12"/>
        <v>2.7086763209738671</v>
      </c>
      <c r="AA64">
        <f t="shared" si="13"/>
        <v>3.0000000000000001E-3</v>
      </c>
      <c r="AB64" s="2" cm="1">
        <f t="array" ref="AB64">1/10*SUM(((Y64+$B$3:$B$12*Z64)-$C$3:$C$12)^2)</f>
        <v>17.299868202526206</v>
      </c>
      <c r="AC64" s="2" cm="1">
        <f t="array" ref="AC64">SUM(((Y64+$B$3:$B$12*Z64)-$C$3:$C$12))</f>
        <v>-3.3834954699653661</v>
      </c>
      <c r="AD64" s="3" cm="1">
        <f t="array" ref="AD64">SUM(((Y64+$B$3:$B$12*Z64)-$C$3:$C$12)*$B$3:$B$12)</f>
        <v>0.48635656920673964</v>
      </c>
    </row>
    <row r="65" spans="25:30" x14ac:dyDescent="0.3">
      <c r="Y65" s="1">
        <f t="shared" si="11"/>
        <v>1.2066840703492505</v>
      </c>
      <c r="Z65" s="1">
        <f t="shared" si="12"/>
        <v>2.7072172512662469</v>
      </c>
      <c r="AA65">
        <f t="shared" si="13"/>
        <v>3.0000000000000001E-3</v>
      </c>
      <c r="AB65" s="2" cm="1">
        <f t="array" ref="AB65">1/10*SUM(((Y65+$B$3:$B$12*Z65)-$C$3:$C$12)^2)</f>
        <v>17.292884008538024</v>
      </c>
      <c r="AC65" s="2" cm="1">
        <f t="array" ref="AC65">SUM(((Y65+$B$3:$B$12*Z65)-$C$3:$C$12))</f>
        <v>-3.3578622306626595</v>
      </c>
      <c r="AD65" s="3" cm="1">
        <f t="array" ref="AD65">SUM(((Y65+$B$3:$B$12*Z65)-$C$3:$C$12)*$B$3:$B$12)</f>
        <v>0.48267194942942238</v>
      </c>
    </row>
    <row r="66" spans="25:30" x14ac:dyDescent="0.3">
      <c r="Y66" s="1">
        <f t="shared" si="11"/>
        <v>1.2167576570412384</v>
      </c>
      <c r="Z66" s="1">
        <f t="shared" si="12"/>
        <v>2.7057692354179586</v>
      </c>
      <c r="AA66">
        <f t="shared" si="13"/>
        <v>3.0000000000000001E-3</v>
      </c>
      <c r="AB66" s="2" cm="1">
        <f t="array" ref="AB66">1/10*SUM(((Y66+$B$3:$B$12*Z66)-$C$3:$C$12)^2)</f>
        <v>17.286005237692518</v>
      </c>
      <c r="AC66" s="2" cm="1">
        <f t="array" ref="AC66">SUM(((Y66+$B$3:$B$12*Z66)-$C$3:$C$12))</f>
        <v>-3.3324231878537711</v>
      </c>
      <c r="AD66" s="3" cm="1">
        <f t="array" ref="AD66">SUM(((Y66+$B$3:$B$12*Z66)-$C$3:$C$12)*$B$3:$B$12)</f>
        <v>0.47901524419835295</v>
      </c>
    </row>
    <row r="67" spans="25:30" x14ac:dyDescent="0.3">
      <c r="Y67" s="1">
        <f t="shared" si="11"/>
        <v>1.2267549266047997</v>
      </c>
      <c r="Z67" s="1">
        <f t="shared" si="12"/>
        <v>2.7043321896853634</v>
      </c>
      <c r="AA67">
        <f t="shared" si="13"/>
        <v>3.0000000000000001E-3</v>
      </c>
      <c r="AB67" s="2" cm="1">
        <f t="array" ref="AB67">1/10*SUM(((Y67+$B$3:$B$12*Z67)-$C$3:$C$12)^2)</f>
        <v>17.279230298676648</v>
      </c>
      <c r="AC67" s="2" cm="1">
        <f t="array" ref="AC67">SUM(((Y67+$B$3:$B$12*Z67)-$C$3:$C$12))</f>
        <v>-3.3071768703131168</v>
      </c>
      <c r="AD67" s="3" cm="1">
        <f t="array" ref="AD67">SUM(((Y67+$B$3:$B$12*Z67)-$C$3:$C$12)*$B$3:$B$12)</f>
        <v>0.47538624203367941</v>
      </c>
    </row>
    <row r="68" spans="25:30" x14ac:dyDescent="0.3">
      <c r="Y68" s="1">
        <f t="shared" si="11"/>
        <v>1.2366764572157389</v>
      </c>
      <c r="Z68" s="1">
        <f t="shared" si="12"/>
        <v>2.7029060309592623</v>
      </c>
      <c r="AA68">
        <f t="shared" si="13"/>
        <v>3.0000000000000001E-3</v>
      </c>
      <c r="AB68" s="2" cm="1">
        <f t="array" ref="AB68">1/10*SUM(((Y68+$B$3:$B$12*Z68)-$C$3:$C$12)^2)</f>
        <v>17.272557624197486</v>
      </c>
      <c r="AC68" s="2" cm="1">
        <f t="array" ref="AC68">SUM(((Y68+$B$3:$B$12*Z68)-$C$3:$C$12))</f>
        <v>-3.2821218179609719</v>
      </c>
      <c r="AD68" s="3" cm="1">
        <f t="array" ref="AD68">SUM(((Y68+$B$3:$B$12*Z68)-$C$3:$C$12)*$B$3:$B$12)</f>
        <v>0.47178473305848878</v>
      </c>
    </row>
    <row r="69" spans="25:30" x14ac:dyDescent="0.3">
      <c r="Y69" s="1">
        <f t="shared" si="11"/>
        <v>1.2465228226696219</v>
      </c>
      <c r="Z69" s="1">
        <f t="shared" si="12"/>
        <v>2.7014906767600868</v>
      </c>
      <c r="AA69">
        <f t="shared" si="13"/>
        <v>3.0000000000000001E-3</v>
      </c>
      <c r="AB69" s="2" cm="1">
        <f t="array" ref="AB69">1/10*SUM(((Y69+$B$3:$B$12*Z69)-$C$3:$C$12)^2)</f>
        <v>17.265985670619681</v>
      </c>
      <c r="AC69" s="2" cm="1">
        <f t="array" ref="AC69">SUM(((Y69+$B$3:$B$12*Z69)-$C$3:$C$12))</f>
        <v>-3.2572565817792705</v>
      </c>
      <c r="AD69" s="3" cm="1">
        <f t="array" ref="AD69">SUM(((Y69+$B$3:$B$12*Z69)-$C$3:$C$12)*$B$3:$B$12)</f>
        <v>0.46821050898474004</v>
      </c>
    </row>
    <row r="70" spans="25:30" x14ac:dyDescent="0.3">
      <c r="Y70" s="1">
        <f t="shared" si="11"/>
        <v>1.2562945924149598</v>
      </c>
      <c r="Z70" s="1">
        <f t="shared" si="12"/>
        <v>2.7000860452331326</v>
      </c>
      <c r="AA70">
        <f t="shared" si="13"/>
        <v>3.0000000000000001E-3</v>
      </c>
      <c r="AB70" s="2" cm="1">
        <f t="array" ref="AB70">1/10*SUM(((Y70+$B$3:$B$12*Z70)-$C$3:$C$12)^2)</f>
        <v>17.259512917608301</v>
      </c>
      <c r="AC70" s="2" cm="1">
        <f t="array" ref="AC70">SUM(((Y70+$B$3:$B$12*Z70)-$C$3:$C$12))</f>
        <v>-3.232579723727512</v>
      </c>
      <c r="AD70" s="3" cm="1">
        <f t="array" ref="AD70">SUM(((Y70+$B$3:$B$12*Z70)-$C$3:$C$12)*$B$3:$B$12)</f>
        <v>0.46466336310340983</v>
      </c>
    </row>
    <row r="71" spans="25:30" x14ac:dyDescent="0.3">
      <c r="Y71" s="1">
        <f t="shared" si="11"/>
        <v>1.2659923315861423</v>
      </c>
      <c r="Z71" s="1">
        <f t="shared" si="12"/>
        <v>2.6986920551438223</v>
      </c>
      <c r="AA71">
        <f t="shared" si="13"/>
        <v>3.0000000000000001E-3</v>
      </c>
      <c r="AB71" s="2" cm="1">
        <f t="array" ref="AB71">1/10*SUM(((Y71+$B$3:$B$12*Z71)-$C$3:$C$12)^2)</f>
        <v>17.253137867777198</v>
      </c>
      <c r="AC71" s="2" cm="1">
        <f t="array" ref="AC71">SUM(((Y71+$B$3:$B$12*Z71)-$C$3:$C$12))</f>
        <v>-3.2080898166598275</v>
      </c>
      <c r="AD71" s="3" cm="1">
        <f t="array" ref="AD71">SUM(((Y71+$B$3:$B$12*Z71)-$C$3:$C$12)*$B$3:$B$12)</f>
        <v>0.46114309027091627</v>
      </c>
    </row>
    <row r="72" spans="25:30" x14ac:dyDescent="0.3">
      <c r="Y72" s="1">
        <f t="shared" si="11"/>
        <v>1.2756166010361218</v>
      </c>
      <c r="Z72" s="1">
        <f t="shared" si="12"/>
        <v>2.6973086258730095</v>
      </c>
      <c r="AA72">
        <f t="shared" si="13"/>
        <v>3.0000000000000001E-3</v>
      </c>
      <c r="AB72" s="2" cm="1">
        <f t="array" ref="AB72">1/10*SUM(((Y72+$B$3:$B$12*Z72)-$C$3:$C$12)^2)</f>
        <v>17.246859046342536</v>
      </c>
      <c r="AC72" s="2" cm="1">
        <f t="array" ref="AC72">SUM(((Y72+$B$3:$B$12*Z72)-$C$3:$C$12))</f>
        <v>-3.1837854442422824</v>
      </c>
      <c r="AD72" s="3" cm="1">
        <f t="array" ref="AD72">SUM(((Y72+$B$3:$B$12*Z72)-$C$3:$C$12)*$B$3:$B$12)</f>
        <v>0.45764948689828699</v>
      </c>
    </row>
    <row r="73" spans="25:30" x14ac:dyDescent="0.3">
      <c r="Y73" s="1">
        <f t="shared" si="11"/>
        <v>1.2851679573688486</v>
      </c>
      <c r="Z73" s="1">
        <f t="shared" si="12"/>
        <v>2.6959356774123147</v>
      </c>
      <c r="AA73">
        <f t="shared" si="13"/>
        <v>3.0000000000000001E-3</v>
      </c>
      <c r="AB73" s="2" cm="1">
        <f t="array" ref="AB73">1/10*SUM(((Y73+$B$3:$B$12*Z73)-$C$3:$C$12)^2)</f>
        <v>17.24067500078166</v>
      </c>
      <c r="AC73" s="2" cm="1">
        <f t="array" ref="AC73">SUM(((Y73+$B$3:$B$12*Z73)-$C$3:$C$12))</f>
        <v>-3.1596652008711561</v>
      </c>
      <c r="AD73" s="3" cm="1">
        <f t="array" ref="AD73">SUM(((Y73+$B$3:$B$12*Z73)-$C$3:$C$12)*$B$3:$B$12)</f>
        <v>0.4541823509380879</v>
      </c>
    </row>
    <row r="74" spans="25:30" x14ac:dyDescent="0.3">
      <c r="Y74" s="1">
        <f t="shared" si="11"/>
        <v>1.2946469529714622</v>
      </c>
      <c r="Z74" s="1">
        <f t="shared" si="12"/>
        <v>2.6945731303595002</v>
      </c>
      <c r="AA74">
        <f t="shared" si="13"/>
        <v>3.0000000000000001E-3</v>
      </c>
      <c r="AB74" s="2" cm="1">
        <f t="array" ref="AB74">1/10*SUM(((Y74+$B$3:$B$12*Z74)-$C$3:$C$12)^2)</f>
        <v>17.234584300497083</v>
      </c>
      <c r="AC74" s="2" cm="1">
        <f t="array" ref="AC74">SUM(((Y74+$B$3:$B$12*Z74)-$C$3:$C$12))</f>
        <v>-3.1357276915913737</v>
      </c>
      <c r="AD74" s="3" cm="1">
        <f t="array" ref="AD74">SUM(((Y74+$B$3:$B$12*Z74)-$C$3:$C$12)*$B$3:$B$12)</f>
        <v>0.45074148187473284</v>
      </c>
    </row>
    <row r="75" spans="25:30" x14ac:dyDescent="0.3">
      <c r="Y75" s="1">
        <f t="shared" si="11"/>
        <v>1.3040541360462363</v>
      </c>
      <c r="Z75" s="1">
        <f t="shared" si="12"/>
        <v>2.6932209059138761</v>
      </c>
      <c r="AA75">
        <f t="shared" si="13"/>
        <v>3.0000000000000001E-3</v>
      </c>
      <c r="AB75" s="2" cm="1">
        <f t="array" ref="AB75">1/10*SUM(((Y75+$B$3:$B$12*Z75)-$C$3:$C$12)^2)</f>
        <v>17.228585536485493</v>
      </c>
      <c r="AC75" s="2" cm="1">
        <f t="array" ref="AC75">SUM(((Y75+$B$3:$B$12*Z75)-$C$3:$C$12))</f>
        <v>-3.1119715320160819</v>
      </c>
      <c r="AD75" s="3" cm="1">
        <f t="array" ref="AD75">SUM(((Y75+$B$3:$B$12*Z75)-$C$3:$C$12)*$B$3:$B$12)</f>
        <v>0.44732668071105586</v>
      </c>
    </row>
    <row r="76" spans="25:30" x14ac:dyDescent="0.3">
      <c r="Y76" s="1">
        <f t="shared" si="11"/>
        <v>1.3133900506422846</v>
      </c>
      <c r="Z76" s="1">
        <f t="shared" si="12"/>
        <v>2.6918789258717428</v>
      </c>
      <c r="AA76">
        <f t="shared" si="13"/>
        <v>3.0000000000000001E-3</v>
      </c>
      <c r="AB76" s="2" cm="1">
        <f t="array" ref="AB76">1/10*SUM(((Y76+$B$3:$B$12*Z76)-$C$3:$C$12)^2)</f>
        <v>17.222677321011847</v>
      </c>
      <c r="AC76" s="2" cm="1">
        <f t="array" ref="AC76">SUM(((Y76+$B$3:$B$12*Z76)-$C$3:$C$12))</f>
        <v>-3.0883953482465367</v>
      </c>
      <c r="AD76" s="3" cm="1">
        <f t="array" ref="AD76">SUM(((Y76+$B$3:$B$12*Z76)-$C$3:$C$12)*$B$3:$B$12)</f>
        <v>0.44393774995719393</v>
      </c>
    </row>
    <row r="77" spans="25:30" x14ac:dyDescent="0.3">
      <c r="Y77" s="1">
        <f t="shared" si="11"/>
        <v>1.3226552366870243</v>
      </c>
      <c r="Z77" s="1">
        <f t="shared" si="12"/>
        <v>2.6905471126218714</v>
      </c>
      <c r="AA77">
        <f t="shared" si="13"/>
        <v>3.0000000000000001E-3</v>
      </c>
      <c r="AB77" s="2" cm="1">
        <f t="array" ref="AB77">1/10*SUM(((Y77+$B$3:$B$12*Z77)-$C$3:$C$12)^2)</f>
        <v>17.216858287288286</v>
      </c>
      <c r="AC77" s="2" cm="1">
        <f t="array" ref="AC77">SUM(((Y77+$B$3:$B$12*Z77)-$C$3:$C$12))</f>
        <v>-3.064997776792453</v>
      </c>
      <c r="AD77" s="3" cm="1">
        <f t="array" ref="AD77">SUM(((Y77+$B$3:$B$12*Z77)-$C$3:$C$12)*$B$3:$B$12)</f>
        <v>0.44057449362050494</v>
      </c>
    </row>
    <row r="78" spans="25:30" x14ac:dyDescent="0.3">
      <c r="Y78" s="1">
        <f t="shared" si="11"/>
        <v>1.3318502300174018</v>
      </c>
      <c r="Z78" s="1">
        <f t="shared" si="12"/>
        <v>2.6892253891410101</v>
      </c>
      <c r="AA78">
        <f t="shared" si="13"/>
        <v>3.0000000000000001E-3</v>
      </c>
      <c r="AB78" s="2" cm="1">
        <f t="array" ref="AB78">1/10*SUM(((Y78+$B$3:$B$12*Z78)-$C$3:$C$12)^2)</f>
        <v>17.211127089158001</v>
      </c>
      <c r="AC78" s="2" cm="1">
        <f t="array" ref="AC78">SUM(((Y78+$B$3:$B$12*Z78)-$C$3:$C$12))</f>
        <v>-3.0417774644934648</v>
      </c>
      <c r="AD78" s="3" cm="1">
        <f t="array" ref="AD78">SUM(((Y78+$B$3:$B$12*Z78)-$C$3:$C$12)*$B$3:$B$12)</f>
        <v>0.43723671719199686</v>
      </c>
    </row>
    <row r="79" spans="25:30" x14ac:dyDescent="0.3">
      <c r="Y79" s="1">
        <f t="shared" si="11"/>
        <v>1.3409755624108821</v>
      </c>
      <c r="Z79" s="1">
        <f t="shared" si="12"/>
        <v>2.687913678989434</v>
      </c>
      <c r="AA79">
        <f t="shared" si="13"/>
        <v>3.0000000000000001E-3</v>
      </c>
      <c r="AB79" s="2" cm="1">
        <f t="array" ref="AB79">1/10*SUM(((Y79+$B$3:$B$12*Z79)-$C$3:$C$12)^2)</f>
        <v>17.205482400783783</v>
      </c>
      <c r="AC79" s="2" cm="1">
        <f t="array" ref="AC79">SUM(((Y79+$B$3:$B$12*Z79)-$C$3:$C$12))</f>
        <v>-3.0187330684406146</v>
      </c>
      <c r="AD79" s="3" cm="1">
        <f t="array" ref="AD79">SUM(((Y79+$B$3:$B$12*Z79)-$C$3:$C$12)*$B$3:$B$12)</f>
        <v>0.4339242276368519</v>
      </c>
    </row>
    <row r="80" spans="25:30" x14ac:dyDescent="0.3">
      <c r="Y80" s="1">
        <f t="shared" si="11"/>
        <v>1.3500317616162039</v>
      </c>
      <c r="Z80" s="1">
        <f t="shared" si="12"/>
        <v>2.6866119063065232</v>
      </c>
      <c r="AA80">
        <f t="shared" si="13"/>
        <v>3.0000000000000001E-3</v>
      </c>
      <c r="AB80" s="2" cm="1">
        <f t="array" ref="AB80">1/10*SUM(((Y80+$B$3:$B$12*Z80)-$C$3:$C$12)^2)</f>
        <v>17.199922916341304</v>
      </c>
      <c r="AC80" s="2" cm="1">
        <f t="array" ref="AC80">SUM(((Y80+$B$3:$B$12*Z80)-$C$3:$C$12))</f>
        <v>-2.9958632558987563</v>
      </c>
      <c r="AD80" s="3" cm="1">
        <f t="array" ref="AD80">SUM(((Y80+$B$3:$B$12*Z80)-$C$3:$C$12)*$B$3:$B$12)</f>
        <v>0.43063683338287428</v>
      </c>
    </row>
    <row r="81" spans="25:30" x14ac:dyDescent="0.3">
      <c r="Y81" s="1">
        <f t="shared" si="11"/>
        <v>1.3590193513839002</v>
      </c>
      <c r="Z81" s="1">
        <f t="shared" si="12"/>
        <v>2.6853199958063745</v>
      </c>
      <c r="AA81">
        <f t="shared" si="13"/>
        <v>3.0000000000000001E-3</v>
      </c>
      <c r="AB81" s="2" cm="1">
        <f t="array" ref="AB81">1/10*SUM(((Y81+$B$3:$B$12*Z81)-$C$3:$C$12)^2)</f>
        <v>17.194447349717063</v>
      </c>
      <c r="AC81" s="2" cm="1">
        <f t="array" ref="AC81">SUM(((Y81+$B$3:$B$12*Z81)-$C$3:$C$12))</f>
        <v>-2.9731667042295329</v>
      </c>
      <c r="AD81" s="3" cm="1">
        <f t="array" ref="AD81">SUM(((Y81+$B$3:$B$12*Z81)-$C$3:$C$12)*$B$3:$B$12)</f>
        <v>0.42737434430884591</v>
      </c>
    </row>
    <row r="82" spans="25:30" x14ac:dyDescent="0.3">
      <c r="Y82" s="1">
        <f t="shared" si="11"/>
        <v>1.3679388514965887</v>
      </c>
      <c r="Z82" s="1">
        <f t="shared" si="12"/>
        <v>2.6840378727734477</v>
      </c>
      <c r="AA82">
        <f t="shared" si="13"/>
        <v>3.0000000000000001E-3</v>
      </c>
      <c r="AB82" s="2" cm="1">
        <f t="array" ref="AB82">1/10*SUM(((Y82+$B$3:$B$12*Z82)-$C$3:$C$12)^2)</f>
        <v>17.189054434210824</v>
      </c>
      <c r="AC82" s="2" cm="1">
        <f t="array" ref="AC82">SUM(((Y82+$B$3:$B$12*Z82)-$C$3:$C$12))</f>
        <v>-2.9506421008148305</v>
      </c>
      <c r="AD82" s="3" cm="1">
        <f t="array" ref="AD82">SUM(((Y82+$B$3:$B$12*Z82)-$C$3:$C$12)*$B$3:$B$12)</f>
        <v>0.42413657173415509</v>
      </c>
    </row>
    <row r="83" spans="25:30" x14ac:dyDescent="0.3">
      <c r="Y83" s="1">
        <f t="shared" si="11"/>
        <v>1.3767907777990331</v>
      </c>
      <c r="Z83" s="1">
        <f t="shared" si="12"/>
        <v>2.6827654630582454</v>
      </c>
      <c r="AA83">
        <f t="shared" si="13"/>
        <v>3.0000000000000001E-3</v>
      </c>
      <c r="AB83" s="2" cm="1">
        <f t="array" ref="AB83">1/10*SUM(((Y83+$B$3:$B$12*Z83)-$C$3:$C$12)^2)</f>
        <v>17.183742922242608</v>
      </c>
      <c r="AC83" s="2" cm="1">
        <f t="array" ref="AC83">SUM(((Y83+$B$3:$B$12*Z83)-$C$3:$C$12))</f>
        <v>-2.9282881429809064</v>
      </c>
      <c r="AD83" s="3" cm="1">
        <f t="array" ref="AD83">SUM(((Y83+$B$3:$B$12*Z83)-$C$3:$C$12)*$B$3:$B$12)</f>
        <v>0.42092332840736468</v>
      </c>
    </row>
    <row r="84" spans="25:30" x14ac:dyDescent="0.3">
      <c r="Y84" s="1">
        <f t="shared" si="11"/>
        <v>1.3855756422279759</v>
      </c>
      <c r="Z84" s="1">
        <f t="shared" si="12"/>
        <v>2.6815026930730235</v>
      </c>
      <c r="AA84">
        <f t="shared" si="13"/>
        <v>3.0000000000000001E-3</v>
      </c>
      <c r="AB84" s="2" cm="1">
        <f t="array" ref="AB84">1/10*SUM(((Y84+$B$3:$B$12*Z84)-$C$3:$C$12)^2)</f>
        <v>17.178511585064069</v>
      </c>
      <c r="AC84" s="2" cm="1">
        <f t="array" ref="AC84">SUM(((Y84+$B$3:$B$12*Z84)-$C$3:$C$12))</f>
        <v>-2.9061035379230233</v>
      </c>
      <c r="AD84" s="3" cm="1">
        <f t="array" ref="AD84">SUM(((Y84+$B$3:$B$12*Z84)-$C$3:$C$12)*$B$3:$B$12)</f>
        <v>0.41773442849572429</v>
      </c>
    </row>
    <row r="85" spans="25:30" x14ac:dyDescent="0.3">
      <c r="Y85" s="1">
        <f t="shared" si="11"/>
        <v>1.3942939528417451</v>
      </c>
      <c r="Z85" s="1">
        <f t="shared" si="12"/>
        <v>2.6802494897875362</v>
      </c>
      <c r="AA85">
        <f t="shared" si="13"/>
        <v>3.0000000000000001E-3</v>
      </c>
      <c r="AB85" s="2" cm="1">
        <f t="array" ref="AB85">1/10*SUM(((Y85+$B$3:$B$12*Z85)-$C$3:$C$12)^2)</f>
        <v>17.173359212474242</v>
      </c>
      <c r="AC85" s="2" cm="1">
        <f t="array" ref="AC85">SUM(((Y85+$B$3:$B$12*Z85)-$C$3:$C$12))</f>
        <v>-2.8840870026306629</v>
      </c>
      <c r="AD85" s="3" cm="1">
        <f t="array" ref="AD85">SUM(((Y85+$B$3:$B$12*Z85)-$C$3:$C$12)*$B$3:$B$12)</f>
        <v>0.41456968757446044</v>
      </c>
    </row>
    <row r="86" spans="25:30" x14ac:dyDescent="0.3">
      <c r="Y86" s="1">
        <f t="shared" si="11"/>
        <v>1.4029462138496371</v>
      </c>
      <c r="Z86" s="1">
        <f t="shared" si="12"/>
        <v>2.6790057807248129</v>
      </c>
      <c r="AA86">
        <f t="shared" si="13"/>
        <v>3.0000000000000001E-3</v>
      </c>
      <c r="AB86" s="2" cm="1">
        <f t="array" ref="AB86">1/10*SUM(((Y86+$B$3:$B$12*Z86)-$C$3:$C$12)^2)</f>
        <v>17.168284612539594</v>
      </c>
      <c r="AC86" s="2" cm="1">
        <f t="array" ref="AC86">SUM(((Y86+$B$3:$B$12*Z86)-$C$3:$C$12))</f>
        <v>-2.8622372638133573</v>
      </c>
      <c r="AD86" s="3" cm="1">
        <f t="array" ref="AD86">SUM(((Y86+$B$3:$B$12*Z86)-$C$3:$C$12)*$B$3:$B$12)</f>
        <v>0.41142892261599118</v>
      </c>
    </row>
    <row r="87" spans="25:30" x14ac:dyDescent="0.3">
      <c r="Y87" s="1">
        <f t="shared" si="11"/>
        <v>1.4115329256410771</v>
      </c>
      <c r="Z87" s="1">
        <f t="shared" si="12"/>
        <v>2.677771493956965</v>
      </c>
      <c r="AA87">
        <f t="shared" si="13"/>
        <v>3.0000000000000001E-3</v>
      </c>
      <c r="AB87" s="2" cm="1">
        <f t="array" ref="AB87">1/10*SUM(((Y87+$B$3:$B$12*Z87)-$C$3:$C$12)^2)</f>
        <v>17.163286611318242</v>
      </c>
      <c r="AC87" s="2" cm="1">
        <f t="array" ref="AC87">SUM(((Y87+$B$3:$B$12*Z87)-$C$3:$C$12))</f>
        <v>-2.8405530578270541</v>
      </c>
      <c r="AD87" s="3" cm="1">
        <f t="array" ref="AD87">SUM(((Y87+$B$3:$B$12*Z87)-$C$3:$C$12)*$B$3:$B$12)</f>
        <v>0.40831195197916437</v>
      </c>
    </row>
    <row r="88" spans="25:30" x14ac:dyDescent="0.3">
      <c r="Y88" s="1">
        <f t="shared" ref="Y88:Y147" si="14">Y87-AA87*AC87</f>
        <v>1.4200545848145583</v>
      </c>
      <c r="Z88" s="1">
        <f t="shared" ref="Z88:Z147" si="15">Z87-AA87*AD87</f>
        <v>2.6765465581010277</v>
      </c>
      <c r="AA88">
        <f t="shared" ref="AA88:AA147" si="16">AA87</f>
        <v>3.0000000000000001E-3</v>
      </c>
      <c r="AB88" s="2" cm="1">
        <f t="array" ref="AB88">1/10*SUM(((Y88+$B$3:$B$12*Z88)-$C$3:$C$12)^2)</f>
        <v>17.158364052588432</v>
      </c>
      <c r="AC88" s="2" cm="1">
        <f t="array" ref="AC88">SUM(((Y88+$B$3:$B$12*Z88)-$C$3:$C$12))</f>
        <v>-2.8190331306009844</v>
      </c>
      <c r="AD88" s="3" cm="1">
        <f t="array" ref="AD88">SUM(((Y88+$B$3:$B$12*Z88)-$C$3:$C$12)*$B$3:$B$12)</f>
        <v>0.40521859539933724</v>
      </c>
    </row>
    <row r="89" spans="25:30" x14ac:dyDescent="0.3">
      <c r="Y89" s="1">
        <f t="shared" si="14"/>
        <v>1.4285116842063612</v>
      </c>
      <c r="Z89" s="1">
        <f t="shared" si="15"/>
        <v>2.6753309023148297</v>
      </c>
      <c r="AA89">
        <f t="shared" si="16"/>
        <v>3.0000000000000001E-3</v>
      </c>
      <c r="AB89" s="2" cm="1">
        <f t="array" ref="AB89">1/10*SUM(((Y89+$B$3:$B$12*Z89)-$C$3:$C$12)^2)</f>
        <v>17.153515797581012</v>
      </c>
      <c r="AC89" s="2" cm="1">
        <f t="array" ref="AC89">SUM(((Y89+$B$3:$B$12*Z89)-$C$3:$C$12))</f>
        <v>-2.797676237565244</v>
      </c>
      <c r="AD89" s="3" cm="1">
        <f t="array" ref="AD89">SUM(((Y89+$B$3:$B$12*Z89)-$C$3:$C$12)*$B$3:$B$12)</f>
        <v>0.40214867397694498</v>
      </c>
    </row>
    <row r="90" spans="25:30" x14ac:dyDescent="0.3">
      <c r="Y90" s="1">
        <f t="shared" si="14"/>
        <v>1.4369047129190569</v>
      </c>
      <c r="Z90" s="1">
        <f t="shared" si="15"/>
        <v>2.674124456292899</v>
      </c>
      <c r="AA90">
        <f t="shared" si="16"/>
        <v>3.0000000000000001E-3</v>
      </c>
      <c r="AB90" s="2" cm="1">
        <f t="array" ref="AB90">1/10*SUM(((Y90+$B$3:$B$12*Z90)-$C$3:$C$12)^2)</f>
        <v>17.148740724716074</v>
      </c>
      <c r="AC90" s="2" cm="1">
        <f t="array" ref="AC90">SUM(((Y90+$B$3:$B$12*Z90)-$C$3:$C$12))</f>
        <v>-2.7764811435786885</v>
      </c>
      <c r="AD90" s="3" cm="1">
        <f t="array" ref="AD90">SUM(((Y90+$B$3:$B$12*Z90)-$C$3:$C$12)*$B$3:$B$12)</f>
        <v>0.39910201016815594</v>
      </c>
    </row>
    <row r="91" spans="25:30" x14ac:dyDescent="0.3">
      <c r="Y91" s="1">
        <f t="shared" si="14"/>
        <v>1.445234156349793</v>
      </c>
      <c r="Z91" s="1">
        <f t="shared" si="15"/>
        <v>2.6729271502623946</v>
      </c>
      <c r="AA91">
        <f t="shared" si="16"/>
        <v>3.0000000000000001E-3</v>
      </c>
      <c r="AB91" s="2" cm="1">
        <f t="array" ref="AB91">1/10*SUM(((Y91+$B$3:$B$12*Z91)-$C$3:$C$12)^2)</f>
        <v>17.144037729343363</v>
      </c>
      <c r="AC91" s="2" cm="1">
        <f t="array" ref="AC91">SUM(((Y91+$B$3:$B$12*Z91)-$C$3:$C$12))</f>
        <v>-2.7554466228575452</v>
      </c>
      <c r="AD91" s="3" cm="1">
        <f t="array" ref="AD91">SUM(((Y91+$B$3:$B$12*Z91)-$C$3:$C$12)*$B$3:$B$12)</f>
        <v>0.39607842777437696</v>
      </c>
    </row>
    <row r="92" spans="25:30" x14ac:dyDescent="0.3">
      <c r="Y92" s="1">
        <f t="shared" si="14"/>
        <v>1.4535004962183657</v>
      </c>
      <c r="Z92" s="1">
        <f t="shared" si="15"/>
        <v>2.6717389149790716</v>
      </c>
      <c r="AA92">
        <f t="shared" si="16"/>
        <v>3.0000000000000001E-3</v>
      </c>
      <c r="AB92" s="2" cm="1">
        <f t="array" ref="AB92">1/10*SUM(((Y92+$B$3:$B$12*Z92)-$C$3:$C$12)^2)</f>
        <v>17.139405723486835</v>
      </c>
      <c r="AC92" s="2" cm="1">
        <f t="array" ref="AC92">SUM(((Y92+$B$3:$B$12*Z92)-$C$3:$C$12))</f>
        <v>-2.7345714589046324</v>
      </c>
      <c r="AD92" s="3" cm="1">
        <f t="array" ref="AD92">SUM(((Y92+$B$3:$B$12*Z92)-$C$3:$C$12)*$B$3:$B$12)</f>
        <v>0.39307775193110572</v>
      </c>
    </row>
    <row r="93" spans="25:30" x14ac:dyDescent="0.3">
      <c r="Y93" s="1">
        <f t="shared" si="14"/>
        <v>1.4617042105950797</v>
      </c>
      <c r="Z93" s="1">
        <f t="shared" si="15"/>
        <v>2.6705596817232782</v>
      </c>
      <c r="AA93">
        <f t="shared" si="16"/>
        <v>3.0000000000000001E-3</v>
      </c>
      <c r="AB93" s="2" cm="1">
        <f t="array" ref="AB93">1/10*SUM(((Y93+$B$3:$B$12*Z93)-$C$3:$C$12)^2)</f>
        <v>17.134843635592951</v>
      </c>
      <c r="AC93" s="2" cm="1">
        <f t="array" ref="AC93">SUM(((Y93+$B$3:$B$12*Z93)-$C$3:$C$12))</f>
        <v>-2.7138544444387414</v>
      </c>
      <c r="AD93" s="3" cm="1">
        <f t="array" ref="AD93">SUM(((Y93+$B$3:$B$12*Z93)-$C$3:$C$12)*$B$3:$B$12)</f>
        <v>0.39009980909989106</v>
      </c>
    </row>
    <row r="94" spans="25:30" x14ac:dyDescent="0.3">
      <c r="Y94" s="1">
        <f t="shared" si="14"/>
        <v>1.4698457739283959</v>
      </c>
      <c r="Z94" s="1">
        <f t="shared" si="15"/>
        <v>2.6693893822959787</v>
      </c>
      <c r="AA94">
        <f t="shared" si="16"/>
        <v>3.0000000000000001E-3</v>
      </c>
      <c r="AB94" s="2" cm="1">
        <f t="array" ref="AB94">1/10*SUM(((Y94+$B$3:$B$12*Z94)-$C$3:$C$12)^2)</f>
        <v>17.130350410282741</v>
      </c>
      <c r="AC94" s="2" cm="1">
        <f t="array" ref="AC94">SUM(((Y94+$B$3:$B$12*Z94)-$C$3:$C$12))</f>
        <v>-2.6932943813251597</v>
      </c>
      <c r="AD94" s="3" cm="1">
        <f t="array" ref="AD94">SUM(((Y94+$B$3:$B$12*Z94)-$C$3:$C$12)*$B$3:$B$12)</f>
        <v>0.3871444270556097</v>
      </c>
    </row>
    <row r="95" spans="25:30" x14ac:dyDescent="0.3">
      <c r="Y95" s="1">
        <f t="shared" si="14"/>
        <v>1.4779256570723713</v>
      </c>
      <c r="Z95" s="1">
        <f t="shared" si="15"/>
        <v>2.668227949014812</v>
      </c>
      <c r="AA95">
        <f t="shared" si="16"/>
        <v>3.0000000000000001E-3</v>
      </c>
      <c r="AB95" s="2" cm="1">
        <f t="array" ref="AB95">1/10*SUM(((Y95+$B$3:$B$12*Z95)-$C$3:$C$12)^2)</f>
        <v>17.125925008107711</v>
      </c>
      <c r="AC95" s="2" cm="1">
        <f t="array" ref="AC95">SUM(((Y95+$B$3:$B$12*Z95)-$C$3:$C$12))</f>
        <v>-2.6728900805060629</v>
      </c>
      <c r="AD95" s="3" cm="1">
        <f t="array" ref="AD95">SUM(((Y95+$B$3:$B$12*Z95)-$C$3:$C$12)*$B$3:$B$12)</f>
        <v>0.38421143487900333</v>
      </c>
    </row>
    <row r="96" spans="25:30" x14ac:dyDescent="0.3">
      <c r="Y96" s="1">
        <f t="shared" si="14"/>
        <v>1.4859443273138895</v>
      </c>
      <c r="Z96" s="1">
        <f t="shared" si="15"/>
        <v>2.6670753147101749</v>
      </c>
      <c r="AA96">
        <f t="shared" si="16"/>
        <v>3.0000000000000001E-3</v>
      </c>
      <c r="AB96" s="2" cm="1">
        <f t="array" ref="AB96">1/10*SUM(((Y96+$B$3:$B$12*Z96)-$C$3:$C$12)^2)</f>
        <v>17.121566405309352</v>
      </c>
      <c r="AC96" s="2" cm="1">
        <f t="array" ref="AC96">SUM(((Y96+$B$3:$B$12*Z96)-$C$3:$C$12))</f>
        <v>-2.652640361932022</v>
      </c>
      <c r="AD96" s="3" cm="1">
        <f t="array" ref="AD96">SUM(((Y96+$B$3:$B$12*Z96)-$C$3:$C$12)*$B$3:$B$12)</f>
        <v>0.38130066294467535</v>
      </c>
    </row>
    <row r="97" spans="25:30" x14ac:dyDescent="0.3">
      <c r="Y97" s="1">
        <f t="shared" si="14"/>
        <v>1.4939022483996856</v>
      </c>
      <c r="Z97" s="1">
        <f t="shared" si="15"/>
        <v>2.6659314127213407</v>
      </c>
      <c r="AA97">
        <f t="shared" si="16"/>
        <v>3.0000000000000001E-3</v>
      </c>
      <c r="AB97" s="2" cm="1">
        <f t="array" ref="AB97">1/10*SUM(((Y97+$B$3:$B$12*Z97)-$C$3:$C$12)^2)</f>
        <v>17.117273593582294</v>
      </c>
      <c r="AC97" s="2" cm="1">
        <f t="array" ref="AC97">SUM(((Y97+$B$3:$B$12*Z97)-$C$3:$C$12))</f>
        <v>-2.6325440544934353</v>
      </c>
      <c r="AD97" s="3" cm="1">
        <f t="array" ref="AD97">SUM(((Y97+$B$3:$B$12*Z97)-$C$3:$C$12)*$B$3:$B$12)</f>
        <v>0.37841194291356395</v>
      </c>
    </row>
    <row r="98" spans="25:30" x14ac:dyDescent="0.3">
      <c r="Y98" s="1">
        <f t="shared" si="14"/>
        <v>1.5017998805631658</v>
      </c>
      <c r="Z98" s="1">
        <f t="shared" si="15"/>
        <v>2.6647961768926001</v>
      </c>
      <c r="AA98">
        <f t="shared" si="16"/>
        <v>3.0000000000000001E-3</v>
      </c>
      <c r="AB98" s="2" cm="1">
        <f t="array" ref="AB98">1/10*SUM(((Y98+$B$3:$B$12*Z98)-$C$3:$C$12)^2)</f>
        <v>17.113045579841081</v>
      </c>
      <c r="AC98" s="2" cm="1">
        <f t="array" ref="AC98">SUM(((Y98+$B$3:$B$12*Z98)-$C$3:$C$12))</f>
        <v>-2.6125999959531425</v>
      </c>
      <c r="AD98" s="3" cm="1">
        <f t="array" ref="AD98">SUM(((Y98+$B$3:$B$12*Z98)-$C$3:$C$12)*$B$3:$B$12)</f>
        <v>0.37554510772095212</v>
      </c>
    </row>
    <row r="99" spans="25:30" x14ac:dyDescent="0.3">
      <c r="Y99" s="1">
        <f t="shared" si="14"/>
        <v>1.5096376805510252</v>
      </c>
      <c r="Z99" s="1">
        <f t="shared" si="15"/>
        <v>2.6636695415694374</v>
      </c>
      <c r="AA99">
        <f t="shared" si="16"/>
        <v>3.0000000000000001E-3</v>
      </c>
      <c r="AB99" s="2" cm="1">
        <f t="array" ref="AB99">1/10*SUM(((Y99+$B$3:$B$12*Z99)-$C$3:$C$12)^2)</f>
        <v>17.108881385990419</v>
      </c>
      <c r="AC99" s="2" cm="1">
        <f t="array" ref="AC99">SUM(((Y99+$B$3:$B$12*Z99)-$C$3:$C$12))</f>
        <v>-2.5928070328789987</v>
      </c>
      <c r="AD99" s="3" cm="1">
        <f t="array" ref="AD99">SUM(((Y99+$B$3:$B$12*Z99)-$C$3:$C$12)*$B$3:$B$12)</f>
        <v>0.37269999156799472</v>
      </c>
    </row>
    <row r="100" spans="25:30" x14ac:dyDescent="0.3">
      <c r="Y100" s="1">
        <f t="shared" si="14"/>
        <v>1.5174161016496621</v>
      </c>
      <c r="Z100" s="1">
        <f t="shared" si="15"/>
        <v>2.6625514415947333</v>
      </c>
      <c r="AA100">
        <f t="shared" si="16"/>
        <v>3.0000000000000001E-3</v>
      </c>
      <c r="AB100" s="2" cm="1">
        <f t="array" ref="AB100">1/10*SUM(((Y100+$B$3:$B$12*Z100)-$C$3:$C$12)^2)</f>
        <v>17.104780048698895</v>
      </c>
      <c r="AC100" s="2" cm="1">
        <f t="array" ref="AC100">SUM(((Y100+$B$3:$B$12*Z100)-$C$3:$C$12))</f>
        <v>-2.5731640205772477</v>
      </c>
      <c r="AD100" s="3" cm="1">
        <f t="array" ref="AD100">SUM(((Y100+$B$3:$B$12*Z100)-$C$3:$C$12)*$B$3:$B$12)</f>
        <v>0.36987642991185865</v>
      </c>
    </row>
    <row r="101" spans="25:30" x14ac:dyDescent="0.3">
      <c r="Y101" s="1">
        <f t="shared" si="14"/>
        <v>1.525135593711394</v>
      </c>
      <c r="Z101" s="1">
        <f t="shared" si="15"/>
        <v>2.6614418123049979</v>
      </c>
      <c r="AA101">
        <f t="shared" si="16"/>
        <v>3.0000000000000001E-3</v>
      </c>
      <c r="AB101" s="2" cm="1">
        <f t="array" ref="AB101">1/10*SUM(((Y101+$B$3:$B$12*Z101)-$C$3:$C$12)^2)</f>
        <v>17.100740619176143</v>
      </c>
      <c r="AC101" s="2" cm="1">
        <f t="array" ref="AC101">SUM(((Y101+$B$3:$B$12*Z101)-$C$3:$C$12))</f>
        <v>-2.5536698230261754</v>
      </c>
      <c r="AD101" s="3" cm="1">
        <f t="array" ref="AD101">SUM(((Y101+$B$3:$B$12*Z101)-$C$3:$C$12)*$B$3:$B$12)</f>
        <v>0.36707425945708888</v>
      </c>
    </row>
    <row r="102" spans="25:30" x14ac:dyDescent="0.3">
      <c r="Y102" s="1">
        <f t="shared" si="14"/>
        <v>1.5327966031804725</v>
      </c>
      <c r="Z102" s="1">
        <f t="shared" si="15"/>
        <v>2.6603405895266268</v>
      </c>
      <c r="AA102">
        <f t="shared" si="16"/>
        <v>3.0000000000000001E-3</v>
      </c>
      <c r="AB102" s="2" cm="1">
        <f t="array" ref="AB102">1/10*SUM(((Y102+$B$3:$B$12*Z102)-$C$3:$C$12)^2)</f>
        <v>17.096762162953336</v>
      </c>
      <c r="AC102" s="2" cm="1">
        <f t="array" ref="AC102">SUM(((Y102+$B$3:$B$12*Z102)-$C$3:$C$12))</f>
        <v>-2.5343233128106863</v>
      </c>
      <c r="AD102" s="3" cm="1">
        <f t="array" ref="AD102">SUM(((Y102+$B$3:$B$12*Z102)-$C$3:$C$12)*$B$3:$B$12)</f>
        <v>0.36429331814414068</v>
      </c>
    </row>
    <row r="103" spans="25:30" x14ac:dyDescent="0.3">
      <c r="Y103" s="1">
        <f t="shared" si="14"/>
        <v>1.5403995731189046</v>
      </c>
      <c r="Z103" s="1">
        <f t="shared" si="15"/>
        <v>2.6592477095721945</v>
      </c>
      <c r="AA103">
        <f t="shared" si="16"/>
        <v>3.0000000000000001E-3</v>
      </c>
      <c r="AB103" s="2" cm="1">
        <f t="array" ref="AB103">1/10*SUM(((Y103+$B$3:$B$12*Z103)-$C$3:$C$12)^2)</f>
        <v>17.092843759667023</v>
      </c>
      <c r="AC103" s="2" cm="1">
        <f t="array" ref="AC103">SUM(((Y103+$B$3:$B$12*Z103)-$C$3:$C$12))</f>
        <v>-2.5151233710568479</v>
      </c>
      <c r="AD103" s="3" cm="1">
        <f t="array" ref="AD103">SUM(((Y103+$B$3:$B$12*Z103)-$C$3:$C$12)*$B$3:$B$12)</f>
        <v>0.36153344514200647</v>
      </c>
    </row>
    <row r="104" spans="25:30" x14ac:dyDescent="0.3">
      <c r="Y104" s="1">
        <f t="shared" si="14"/>
        <v>1.5479449432320751</v>
      </c>
      <c r="Z104" s="1">
        <f t="shared" si="15"/>
        <v>2.6581631092367686</v>
      </c>
      <c r="AA104">
        <f t="shared" si="16"/>
        <v>3.0000000000000001E-3</v>
      </c>
      <c r="AB104" s="2" cm="1">
        <f t="array" ref="AB104">1/10*SUM(((Y104+$B$3:$B$12*Z104)-$C$3:$C$12)^2)</f>
        <v>17.088984502846202</v>
      </c>
      <c r="AC104" s="2" cm="1">
        <f t="array" ref="AC104">SUM(((Y104+$B$3:$B$12*Z104)-$C$3:$C$12))</f>
        <v>-2.4960688873672856</v>
      </c>
      <c r="AD104" s="3" cm="1">
        <f t="array" ref="AD104">SUM(((Y104+$B$3:$B$12*Z104)-$C$3:$C$12)*$B$3:$B$12)</f>
        <v>0.35879448083794685</v>
      </c>
    </row>
    <row r="105" spans="25:30" x14ac:dyDescent="0.3">
      <c r="Y105" s="1">
        <f t="shared" si="14"/>
        <v>1.5554331498941769</v>
      </c>
      <c r="Z105" s="1">
        <f t="shared" si="15"/>
        <v>2.6570867257942545</v>
      </c>
      <c r="AA105">
        <f t="shared" si="16"/>
        <v>3.0000000000000001E-3</v>
      </c>
      <c r="AB105" s="2" cm="1">
        <f t="array" ref="AB105">1/10*SUM(((Y105+$B$3:$B$12*Z105)-$C$3:$C$12)^2)</f>
        <v>17.085183499702634</v>
      </c>
      <c r="AC105" s="2" cm="1">
        <f t="array" ref="AC105">SUM(((Y105+$B$3:$B$12*Z105)-$C$3:$C$12))</f>
        <v>-2.4771587597569904</v>
      </c>
      <c r="AD105" s="3" cm="1">
        <f t="array" ref="AD105">SUM(((Y105+$B$3:$B$12*Z105)-$C$3:$C$12)*$B$3:$B$12)</f>
        <v>0.35607626682827592</v>
      </c>
    </row>
    <row r="106" spans="25:30" x14ac:dyDescent="0.3">
      <c r="Y106" s="1">
        <f t="shared" si="14"/>
        <v>1.5628646261734478</v>
      </c>
      <c r="Z106" s="1">
        <f t="shared" si="15"/>
        <v>2.6560184969937697</v>
      </c>
      <c r="AA106">
        <f t="shared" si="16"/>
        <v>3.0000000000000001E-3</v>
      </c>
      <c r="AB106" s="2" cm="1">
        <f t="array" ref="AB106">1/10*SUM(((Y106+$B$3:$B$12*Z106)-$C$3:$C$12)^2)</f>
        <v>17.081439870924306</v>
      </c>
      <c r="AC106" s="2" cm="1">
        <f t="array" ref="AC106">SUM(((Y106+$B$3:$B$12*Z106)-$C$3:$C$12))</f>
        <v>-2.4583918945895054</v>
      </c>
      <c r="AD106" s="3" cm="1">
        <f t="array" ref="AD106">SUM(((Y106+$B$3:$B$12*Z106)-$C$3:$C$12)*$B$3:$B$12)</f>
        <v>0.35337864590964613</v>
      </c>
    </row>
    <row r="107" spans="25:30" x14ac:dyDescent="0.3">
      <c r="Y107" s="1">
        <f t="shared" si="14"/>
        <v>1.5702398018572163</v>
      </c>
      <c r="Z107" s="1">
        <f t="shared" si="15"/>
        <v>2.6549583610560408</v>
      </c>
      <c r="AA107">
        <f t="shared" si="16"/>
        <v>3.0000000000000001E-3</v>
      </c>
      <c r="AB107" s="2" cm="1">
        <f t="array" ref="AB107">1/10*SUM(((Y107+$B$3:$B$12*Z107)-$C$3:$C$12)^2)</f>
        <v>17.077752750471983</v>
      </c>
      <c r="AC107" s="2" cm="1">
        <f t="array" ref="AC107">SUM(((Y107+$B$3:$B$12*Z107)-$C$3:$C$12))</f>
        <v>-2.4397672065137206</v>
      </c>
      <c r="AD107" s="3" cm="1">
        <f t="array" ref="AD107">SUM(((Y107+$B$3:$B$12*Z107)-$C$3:$C$12)*$B$3:$B$12)</f>
        <v>0.3507014620697454</v>
      </c>
    </row>
    <row r="108" spans="25:30" x14ac:dyDescent="0.3">
      <c r="Y108" s="1">
        <f t="shared" si="14"/>
        <v>1.5775591034767575</v>
      </c>
      <c r="Z108" s="1">
        <f t="shared" si="15"/>
        <v>2.6539062566698317</v>
      </c>
      <c r="AA108">
        <f t="shared" si="16"/>
        <v>3.0000000000000001E-3</v>
      </c>
      <c r="AB108" s="2" cm="1">
        <f t="array" ref="AB108">1/10*SUM(((Y108+$B$3:$B$12*Z108)-$C$3:$C$12)^2)</f>
        <v>17.074121285378915</v>
      </c>
      <c r="AC108" s="2" cm="1">
        <f t="array" ref="AC108">SUM(((Y108+$B$3:$B$12*Z108)-$C$3:$C$12))</f>
        <v>-2.4212836184011746</v>
      </c>
      <c r="AD108" s="3" cm="1">
        <f t="array" ref="AD108">SUM(((Y108+$B$3:$B$12*Z108)-$C$3:$C$12)*$B$3:$B$12)</f>
        <v>0.34804456047771026</v>
      </c>
    </row>
    <row r="109" spans="25:30" x14ac:dyDescent="0.3">
      <c r="Y109" s="1">
        <f t="shared" si="14"/>
        <v>1.584822954331961</v>
      </c>
      <c r="Z109" s="1">
        <f t="shared" si="15"/>
        <v>2.6528621229883984</v>
      </c>
      <c r="AA109">
        <f t="shared" si="16"/>
        <v>3.0000000000000001E-3</v>
      </c>
      <c r="AB109" s="2" cm="1">
        <f t="array" ref="AB109">1/10*SUM(((Y109+$B$3:$B$12*Z109)-$C$3:$C$12)^2)</f>
        <v>17.070544635553482</v>
      </c>
      <c r="AC109" s="2" cm="1">
        <f t="array" ref="AC109">SUM(((Y109+$B$3:$B$12*Z109)-$C$3:$C$12))</f>
        <v>-2.4029400612836689</v>
      </c>
      <c r="AD109" s="3" cm="1">
        <f t="array" ref="AD109">SUM(((Y109+$B$3:$B$12*Z109)-$C$3:$C$12)*$B$3:$B$12)</f>
        <v>0.34540778747579065</v>
      </c>
    </row>
    <row r="110" spans="25:30" x14ac:dyDescent="0.3">
      <c r="Y110" s="1">
        <f t="shared" si="14"/>
        <v>1.5920317745158119</v>
      </c>
      <c r="Z110" s="1">
        <f t="shared" si="15"/>
        <v>2.6518258996259712</v>
      </c>
      <c r="AA110">
        <f t="shared" si="16"/>
        <v>3.0000000000000001E-3</v>
      </c>
      <c r="AB110" s="2" cm="1">
        <f t="array" ref="AB110">1/10*SUM(((Y110+$B$3:$B$12*Z110)-$C$3:$C$12)^2)</f>
        <v>17.06702197358484</v>
      </c>
      <c r="AC110" s="2" cm="1">
        <f t="array" ref="AC110">SUM(((Y110+$B$3:$B$12*Z110)-$C$3:$C$12))</f>
        <v>-2.3847354742913875</v>
      </c>
      <c r="AD110" s="3" cm="1">
        <f t="array" ref="AD110">SUM(((Y110+$B$3:$B$12*Z110)-$C$3:$C$12)*$B$3:$B$12)</f>
        <v>0.34279099057094697</v>
      </c>
    </row>
    <row r="111" spans="25:30" x14ac:dyDescent="0.3">
      <c r="Y111" s="1">
        <f t="shared" si="14"/>
        <v>1.5991859809386861</v>
      </c>
      <c r="Z111" s="1">
        <f t="shared" si="15"/>
        <v>2.6507975266542583</v>
      </c>
      <c r="AA111">
        <f t="shared" si="16"/>
        <v>3.0000000000000001E-3</v>
      </c>
      <c r="AB111" s="2" cm="1">
        <f t="array" ref="AB111">1/10*SUM(((Y111+$B$3:$B$12*Z111)-$C$3:$C$12)^2)</f>
        <v>17.063552484551547</v>
      </c>
      <c r="AC111" s="2" cm="1">
        <f t="array" ref="AC111">SUM(((Y111+$B$3:$B$12*Z111)-$C$3:$C$12))</f>
        <v>-2.3666688045917104</v>
      </c>
      <c r="AD111" s="3" cm="1">
        <f t="array" ref="AD111">SUM(((Y111+$B$3:$B$12*Z111)-$C$3:$C$12)*$B$3:$B$12)</f>
        <v>0.34019401842487151</v>
      </c>
    </row>
    <row r="112" spans="25:30" x14ac:dyDescent="0.3">
      <c r="Y112" s="1">
        <f t="shared" si="14"/>
        <v>1.6062859873524613</v>
      </c>
      <c r="Z112" s="1">
        <f t="shared" si="15"/>
        <v>2.6497769445989836</v>
      </c>
      <c r="AA112">
        <f t="shared" si="16"/>
        <v>3.0000000000000001E-3</v>
      </c>
      <c r="AB112" s="2" cm="1">
        <f t="array" ref="AB112">1/10*SUM(((Y112+$B$3:$B$12*Z112)-$C$3:$C$12)^2)</f>
        <v>17.060135365832988</v>
      </c>
      <c r="AC112" s="2" cm="1">
        <f t="array" ref="AC112">SUM(((Y112+$B$3:$B$12*Z112)-$C$3:$C$12))</f>
        <v>-2.3487390073282461</v>
      </c>
      <c r="AD112" s="3" cm="1">
        <f t="array" ref="AD112">SUM(((Y112+$B$3:$B$12*Z112)-$C$3:$C$12)*$B$3:$B$12)</f>
        <v>0.33761672084568095</v>
      </c>
    </row>
    <row r="113" spans="25:30" x14ac:dyDescent="0.3">
      <c r="Y113" s="1">
        <f t="shared" si="14"/>
        <v>1.613332204374446</v>
      </c>
      <c r="Z113" s="1">
        <f t="shared" si="15"/>
        <v>2.6487640944364466</v>
      </c>
      <c r="AA113">
        <f t="shared" si="16"/>
        <v>3.0000000000000001E-3</v>
      </c>
      <c r="AB113" s="2" cm="1">
        <f t="array" ref="AB113">1/10*SUM(((Y113+$B$3:$B$12*Z113)-$C$3:$C$12)^2)</f>
        <v>17.056769826923766</v>
      </c>
      <c r="AC113" s="2" cm="1">
        <f t="array" ref="AC113">SUM(((Y113+$B$3:$B$12*Z113)-$C$3:$C$12))</f>
        <v>-2.3309450455603224</v>
      </c>
      <c r="AD113" s="3" cm="1">
        <f t="array" ref="AD113">SUM(((Y113+$B$3:$B$12*Z113)-$C$3:$C$12)*$B$3:$B$12)</f>
        <v>0.33505894877991621</v>
      </c>
    </row>
    <row r="114" spans="25:30" x14ac:dyDescent="0.3">
      <c r="Y114" s="1">
        <f t="shared" si="14"/>
        <v>1.6203250395111271</v>
      </c>
      <c r="Z114" s="1">
        <f t="shared" si="15"/>
        <v>2.6477589175901066</v>
      </c>
      <c r="AA114">
        <f t="shared" si="16"/>
        <v>3.0000000000000001E-3</v>
      </c>
      <c r="AB114" s="2" cm="1">
        <f t="array" ref="AB114">1/10*SUM(((Y114+$B$3:$B$12*Z114)-$C$3:$C$12)^2)</f>
        <v>17.053455089250757</v>
      </c>
      <c r="AC114" s="2" cm="1">
        <f t="array" ref="AC114">SUM(((Y114+$B$3:$B$12*Z114)-$C$3:$C$12))</f>
        <v>-2.3132858902031921</v>
      </c>
      <c r="AD114" s="3" cm="1">
        <f t="array" ref="AD114">SUM(((Y114+$B$3:$B$12*Z114)-$C$3:$C$12)*$B$3:$B$12)</f>
        <v>0.33252055430259764</v>
      </c>
    </row>
    <row r="115" spans="25:30" x14ac:dyDescent="0.3">
      <c r="Y115" s="1">
        <f t="shared" si="14"/>
        <v>1.6272648971817367</v>
      </c>
      <c r="Z115" s="1">
        <f t="shared" si="15"/>
        <v>2.646761355927199</v>
      </c>
      <c r="AA115">
        <f t="shared" si="16"/>
        <v>3.0000000000000001E-3</v>
      </c>
      <c r="AB115" s="2" cm="1">
        <f t="array" ref="AB115">1/10*SUM(((Y115+$B$3:$B$12*Z115)-$C$3:$C$12)^2)</f>
        <v>17.050190385993066</v>
      </c>
      <c r="AC115" s="2" cm="1">
        <f t="array" ref="AC115">SUM(((Y115+$B$3:$B$12*Z115)-$C$3:$C$12))</f>
        <v>-2.2957605199682911</v>
      </c>
      <c r="AD115" s="3" cm="1">
        <f t="array" ref="AD115">SUM(((Y115+$B$3:$B$12*Z115)-$C$3:$C$12)*$B$3:$B$12)</f>
        <v>0.33000139061030676</v>
      </c>
    </row>
    <row r="116" spans="25:30" x14ac:dyDescent="0.3">
      <c r="Y116" s="1">
        <f t="shared" si="14"/>
        <v>1.6341521787416415</v>
      </c>
      <c r="Z116" s="1">
        <f t="shared" si="15"/>
        <v>2.6457713517553683</v>
      </c>
      <c r="AA116">
        <f t="shared" si="16"/>
        <v>3.0000000000000001E-3</v>
      </c>
      <c r="AB116" s="2" cm="1">
        <f t="array" ref="AB116">1/10*SUM(((Y116+$B$3:$B$12*Z116)-$C$3:$C$12)^2)</f>
        <v>17.046974961904581</v>
      </c>
      <c r="AC116" s="2" cm="1">
        <f t="array" ref="AC116">SUM(((Y116+$B$3:$B$12*Z116)-$C$3:$C$12))</f>
        <v>-2.2783679213044463</v>
      </c>
      <c r="AD116" s="3" cm="1">
        <f t="array" ref="AD116">SUM(((Y116+$B$3:$B$12*Z116)-$C$3:$C$12)*$B$3:$B$12)</f>
        <v>0.32750131201082833</v>
      </c>
    </row>
    <row r="117" spans="25:30" x14ac:dyDescent="0.3">
      <c r="Y117" s="1">
        <f t="shared" si="14"/>
        <v>1.6409872825055549</v>
      </c>
      <c r="Z117" s="1">
        <f t="shared" si="15"/>
        <v>2.6447888478193358</v>
      </c>
      <c r="AA117">
        <f t="shared" si="16"/>
        <v>3.0000000000000001E-3</v>
      </c>
      <c r="AB117" s="2" cm="1">
        <f t="array" ref="AB117">1/10*SUM(((Y117+$B$3:$B$12*Z117)-$C$3:$C$12)^2)</f>
        <v>17.043808073139296</v>
      </c>
      <c r="AC117" s="2" cm="1">
        <f t="array" ref="AC117">SUM(((Y117+$B$3:$B$12*Z117)-$C$3:$C$12))</f>
        <v>-2.2611070883389885</v>
      </c>
      <c r="AD117" s="3" cm="1">
        <f t="array" ref="AD117">SUM(((Y117+$B$3:$B$12*Z117)-$C$3:$C$12)*$B$3:$B$12)</f>
        <v>0.32502017391649574</v>
      </c>
    </row>
    <row r="118" spans="25:30" x14ac:dyDescent="0.3">
      <c r="Y118" s="1">
        <f t="shared" si="14"/>
        <v>1.6477706037705719</v>
      </c>
      <c r="Z118" s="1">
        <f t="shared" si="15"/>
        <v>2.6438137872975864</v>
      </c>
      <c r="AA118">
        <f t="shared" si="16"/>
        <v>3.0000000000000001E-3</v>
      </c>
      <c r="AB118" s="2" cm="1">
        <f t="array" ref="AB118">1/10*SUM(((Y118+$B$3:$B$12*Z118)-$C$3:$C$12)^2)</f>
        <v>17.040688987079193</v>
      </c>
      <c r="AC118" s="2" cm="1">
        <f t="array" ref="AC118">SUM(((Y118+$B$3:$B$12*Z118)-$C$3:$C$12))</f>
        <v>-2.2439770228197897</v>
      </c>
      <c r="AD118" s="3" cm="1">
        <f t="array" ref="AD118">SUM(((Y118+$B$3:$B$12*Z118)-$C$3:$C$12)*$B$3:$B$12)</f>
        <v>0.32255783283451078</v>
      </c>
    </row>
    <row r="119" spans="25:30" x14ac:dyDescent="0.3">
      <c r="Y119" s="1">
        <f t="shared" si="14"/>
        <v>1.6545025348390312</v>
      </c>
      <c r="Z119" s="1">
        <f t="shared" si="15"/>
        <v>2.6428461137990831</v>
      </c>
      <c r="AA119">
        <f t="shared" si="16"/>
        <v>3.0000000000000001E-3</v>
      </c>
      <c r="AB119" s="2" cm="1">
        <f t="array" ref="AB119">1/10*SUM(((Y119+$B$3:$B$12*Z119)-$C$3:$C$12)^2)</f>
        <v>17.037616982164781</v>
      </c>
      <c r="AC119" s="2" cm="1">
        <f t="array" ref="AC119">SUM(((Y119+$B$3:$B$12*Z119)-$C$3:$C$12))</f>
        <v>-2.2269767340573714</v>
      </c>
      <c r="AD119" s="3" cm="1">
        <f t="array" ref="AD119">SUM(((Y119+$B$3:$B$12*Z119)-$C$3:$C$12)*$B$3:$B$12)</f>
        <v>0.3201141463595949</v>
      </c>
    </row>
    <row r="120" spans="25:30" x14ac:dyDescent="0.3">
      <c r="Y120" s="1">
        <f t="shared" si="14"/>
        <v>1.6611834650412034</v>
      </c>
      <c r="Z120" s="1">
        <f t="shared" si="15"/>
        <v>2.6418857713600041</v>
      </c>
      <c r="AA120">
        <f t="shared" si="16"/>
        <v>3.0000000000000001E-3</v>
      </c>
      <c r="AB120" s="2" cm="1">
        <f t="array" ref="AB120">1/10*SUM(((Y120+$B$3:$B$12*Z120)-$C$3:$C$12)^2)</f>
        <v>17.034591347728195</v>
      </c>
      <c r="AC120" s="2" cm="1">
        <f t="array" ref="AC120">SUM(((Y120+$B$3:$B$12*Z120)-$C$3:$C$12))</f>
        <v>-2.21010523886775</v>
      </c>
      <c r="AD120" s="3" cm="1">
        <f t="array" ref="AD120">SUM(((Y120+$B$3:$B$12*Z120)-$C$3:$C$12)*$B$3:$B$12)</f>
        <v>0.31768897316490052</v>
      </c>
    </row>
    <row r="121" spans="25:30" x14ac:dyDescent="0.3">
      <c r="Y121" s="1">
        <f t="shared" si="14"/>
        <v>1.6678137807578066</v>
      </c>
      <c r="Z121" s="1">
        <f t="shared" si="15"/>
        <v>2.6409327044405093</v>
      </c>
      <c r="AA121">
        <f t="shared" si="16"/>
        <v>3.0000000000000001E-3</v>
      </c>
      <c r="AB121" s="2" cm="1">
        <f t="array" ref="AB121">1/10*SUM(((Y121+$B$3:$B$12*Z121)-$C$3:$C$12)^2)</f>
        <v>17.031611383828743</v>
      </c>
      <c r="AC121" s="2" cm="1">
        <f t="array" ref="AC121">SUM(((Y121+$B$3:$B$12*Z121)-$C$3:$C$12))</f>
        <v>-2.1933615615154514</v>
      </c>
      <c r="AD121" s="3" cm="1">
        <f t="array" ref="AD121">SUM(((Y121+$B$3:$B$12*Z121)-$C$3:$C$12)*$B$3:$B$12)</f>
        <v>0.31528217299465311</v>
      </c>
    </row>
    <row r="122" spans="25:30" x14ac:dyDescent="0.3">
      <c r="Y122" s="1">
        <f t="shared" si="14"/>
        <v>1.6743938654423529</v>
      </c>
      <c r="Z122" s="1">
        <f t="shared" si="15"/>
        <v>2.6399868579215253</v>
      </c>
      <c r="AA122">
        <f t="shared" si="16"/>
        <v>3.0000000000000001E-3</v>
      </c>
      <c r="AB122" s="2" cm="1">
        <f t="array" ref="AB122">1/10*SUM(((Y122+$B$3:$B$12*Z122)-$C$3:$C$12)^2)</f>
        <v>17.02867640109103</v>
      </c>
      <c r="AC122" s="2" cm="1">
        <f t="array" ref="AC122">SUM(((Y122+$B$3:$B$12*Z122)-$C$3:$C$12))</f>
        <v>-2.1767447336571477</v>
      </c>
      <c r="AD122" s="3" cm="1">
        <f t="array" ref="AD122">SUM(((Y122+$B$3:$B$12*Z122)-$C$3:$C$12)*$B$3:$B$12)</f>
        <v>0.31289360665563704</v>
      </c>
    </row>
    <row r="123" spans="25:30" x14ac:dyDescent="0.3">
      <c r="Y123" s="1">
        <f t="shared" si="14"/>
        <v>1.6809240996433243</v>
      </c>
      <c r="Z123" s="1">
        <f t="shared" si="15"/>
        <v>2.6390481771015586</v>
      </c>
      <c r="AA123">
        <f t="shared" si="16"/>
        <v>3.0000000000000001E-3</v>
      </c>
      <c r="AB123" s="2" cm="1">
        <f t="array" ref="AB123">1/10*SUM(((Y123+$B$3:$B$12*Z123)-$C$3:$C$12)^2)</f>
        <v>17.025785720545436</v>
      </c>
      <c r="AC123" s="2" cm="1">
        <f t="array" ref="AC123">SUM(((Y123+$B$3:$B$12*Z123)-$C$3:$C$12))</f>
        <v>-2.1602537942857163</v>
      </c>
      <c r="AD123" s="3" cm="1">
        <f t="array" ref="AD123">SUM(((Y123+$B$3:$B$12*Z123)-$C$3:$C$12)*$B$3:$B$12)</f>
        <v>0.31052313600857173</v>
      </c>
    </row>
    <row r="124" spans="25:30" x14ac:dyDescent="0.3">
      <c r="Y124" s="1">
        <f t="shared" si="14"/>
        <v>1.6874048610261816</v>
      </c>
      <c r="Z124" s="1">
        <f t="shared" si="15"/>
        <v>2.638116607693533</v>
      </c>
      <c r="AA124">
        <f t="shared" si="16"/>
        <v>3.0000000000000001E-3</v>
      </c>
      <c r="AB124" s="2" cm="1">
        <f t="array" ref="AB124">1/10*SUM(((Y124+$B$3:$B$12*Z124)-$C$3:$C$12)^2)</f>
        <v>17.022938673471089</v>
      </c>
      <c r="AC124" s="2" cm="1">
        <f t="array" ref="AC124">SUM(((Y124+$B$3:$B$12*Z124)-$C$3:$C$12))</f>
        <v>-2.143887789674479</v>
      </c>
      <c r="AD124" s="3" cm="1">
        <f t="array" ref="AD124">SUM(((Y124+$B$3:$B$12*Z124)-$C$3:$C$12)*$B$3:$B$12)</f>
        <v>0.30817062396157269</v>
      </c>
    </row>
    <row r="125" spans="25:30" x14ac:dyDescent="0.3">
      <c r="Y125" s="1">
        <f t="shared" si="14"/>
        <v>1.6938365243952049</v>
      </c>
      <c r="Z125" s="1">
        <f t="shared" si="15"/>
        <v>2.6371920958216482</v>
      </c>
      <c r="AA125">
        <f t="shared" si="16"/>
        <v>3.0000000000000001E-3</v>
      </c>
      <c r="AB125" s="2" cm="1">
        <f t="array" ref="AB125">1/10*SUM(((Y125+$B$3:$B$12*Z125)-$C$3:$C$12)^2)</f>
        <v>17.020134601241157</v>
      </c>
      <c r="AC125" s="2" cm="1">
        <f t="array" ref="AC125">SUM(((Y125+$B$3:$B$12*Z125)-$C$3:$C$12))</f>
        <v>-2.1276457733222456</v>
      </c>
      <c r="AD125" s="3" cm="1">
        <f t="array" ref="AD125">SUM(((Y125+$B$3:$B$12*Z125)-$C$3:$C$12)*$B$3:$B$12)</f>
        <v>0.30583593446064794</v>
      </c>
    </row>
    <row r="126" spans="25:30" x14ac:dyDescent="0.3">
      <c r="Y126" s="1">
        <f t="shared" si="14"/>
        <v>1.7002194617151716</v>
      </c>
      <c r="Z126" s="1">
        <f t="shared" si="15"/>
        <v>2.6362745880182663</v>
      </c>
      <c r="AA126">
        <f t="shared" si="16"/>
        <v>3.0000000000000001E-3</v>
      </c>
      <c r="AB126" s="2" cm="1">
        <f t="array" ref="AB126">1/10*SUM(((Y126+$B$3:$B$12*Z126)-$C$3:$C$12)^2)</f>
        <v>17.017372855170436</v>
      </c>
      <c r="AC126" s="2" cm="1">
        <f t="array" ref="AC126">SUM(((Y126+$B$3:$B$12*Z126)-$C$3:$C$12))</f>
        <v>-2.1115268058984396</v>
      </c>
      <c r="AD126" s="3" cm="1">
        <f t="array" ref="AD126">SUM(((Y126+$B$3:$B$12*Z126)-$C$3:$C$12)*$B$3:$B$12)</f>
        <v>0.30351893248293854</v>
      </c>
    </row>
    <row r="127" spans="25:30" x14ac:dyDescent="0.3">
      <c r="Y127" s="1">
        <f t="shared" si="14"/>
        <v>1.7065540421328669</v>
      </c>
      <c r="Z127" s="1">
        <f t="shared" si="15"/>
        <v>2.6353640312208175</v>
      </c>
      <c r="AA127">
        <f t="shared" si="16"/>
        <v>3.0000000000000001E-3</v>
      </c>
      <c r="AB127" s="2" cm="1">
        <f t="array" ref="AB127">1/10*SUM(((Y127+$B$3:$B$12*Z127)-$C$3:$C$12)^2)</f>
        <v>17.014652796365361</v>
      </c>
      <c r="AC127" s="2" cm="1">
        <f t="array" ref="AC127">SUM(((Y127+$B$3:$B$12*Z127)-$C$3:$C$12))</f>
        <v>-2.0955299551888169</v>
      </c>
      <c r="AD127" s="3" cm="1">
        <f t="array" ref="AD127">SUM(((Y127+$B$3:$B$12*Z127)-$C$3:$C$12)*$B$3:$B$12)</f>
        <v>0.30121948402851045</v>
      </c>
    </row>
    <row r="128" spans="25:30" x14ac:dyDescent="0.3">
      <c r="Y128" s="1">
        <f t="shared" si="14"/>
        <v>1.7128406319984333</v>
      </c>
      <c r="Z128" s="1">
        <f t="shared" si="15"/>
        <v>2.6344603727687321</v>
      </c>
      <c r="AA128">
        <f t="shared" si="16"/>
        <v>3.0000000000000001E-3</v>
      </c>
      <c r="AB128" s="2" cm="1">
        <f t="array" ref="AB128">1/10*SUM(((Y128+$B$3:$B$12*Z128)-$C$3:$C$12)^2)</f>
        <v>17.01197379557615</v>
      </c>
      <c r="AC128" s="2" cm="1">
        <f t="array" ref="AC128">SUM(((Y128+$B$3:$B$12*Z128)-$C$3:$C$12))</f>
        <v>-2.0796542960416042</v>
      </c>
      <c r="AD128" s="3" cm="1">
        <f t="array" ref="AD128">SUM(((Y128+$B$3:$B$12*Z128)-$C$3:$C$12)*$B$3:$B$12)</f>
        <v>0.29893745611218914</v>
      </c>
    </row>
    <row r="129" spans="25:30" x14ac:dyDescent="0.3">
      <c r="Y129" s="1">
        <f t="shared" si="14"/>
        <v>1.719079594886558</v>
      </c>
      <c r="Z129" s="1">
        <f t="shared" si="15"/>
        <v>2.6335635604003955</v>
      </c>
      <c r="AA129">
        <f t="shared" si="16"/>
        <v>3.0000000000000001E-3</v>
      </c>
      <c r="AB129" s="2" cm="1">
        <f t="array" ref="AB129">1/10*SUM(((Y129+$B$3:$B$12*Z129)-$C$3:$C$12)^2)</f>
        <v>17.009335233051228</v>
      </c>
      <c r="AC129" s="2" cm="1">
        <f t="array" ref="AC129">SUM(((Y129+$B$3:$B$12*Z129)-$C$3:$C$12))</f>
        <v>-2.063898910313851</v>
      </c>
      <c r="AD129" s="3" cm="1">
        <f t="array" ref="AD129">SUM(((Y129+$B$3:$B$12*Z129)-$C$3:$C$12)*$B$3:$B$12)</f>
        <v>0.29667271675709939</v>
      </c>
    </row>
    <row r="130" spans="25:30" x14ac:dyDescent="0.3">
      <c r="Y130" s="1">
        <f t="shared" si="14"/>
        <v>1.7252712916174995</v>
      </c>
      <c r="Z130" s="1">
        <f t="shared" si="15"/>
        <v>2.6326735422501244</v>
      </c>
      <c r="AA130">
        <f t="shared" si="16"/>
        <v>3.0000000000000001E-3</v>
      </c>
      <c r="AB130" s="2" cm="1">
        <f t="array" ref="AB130">1/10*SUM(((Y130+$B$3:$B$12*Z130)-$C$3:$C$12)^2)</f>
        <v>17.006736498393927</v>
      </c>
      <c r="AC130" s="2" cm="1">
        <f t="array" ref="AC130">SUM(((Y130+$B$3:$B$12*Z130)-$C$3:$C$12))</f>
        <v>-2.0482628868185433</v>
      </c>
      <c r="AD130" s="3" cm="1">
        <f t="array" ref="AD130">SUM(((Y130+$B$3:$B$12*Z130)-$C$3:$C$12)*$B$3:$B$12)</f>
        <v>0.29442513498522516</v>
      </c>
    </row>
    <row r="131" spans="25:30" x14ac:dyDescent="0.3">
      <c r="Y131" s="1">
        <f t="shared" si="14"/>
        <v>1.731416080277955</v>
      </c>
      <c r="Z131" s="1">
        <f t="shared" si="15"/>
        <v>2.6317902668451687</v>
      </c>
      <c r="AA131">
        <f t="shared" si="16"/>
        <v>3.0000000000000001E-3</v>
      </c>
      <c r="AB131" s="2" cm="1">
        <f t="array" ref="AB131">1/10*SUM(((Y131+$B$3:$B$12*Z131)-$C$3:$C$12)^2)</f>
        <v>17.00417699042119</v>
      </c>
      <c r="AC131" s="2" cm="1">
        <f t="array" ref="AC131">SUM(((Y131+$B$3:$B$12*Z131)-$C$3:$C$12))</f>
        <v>-2.0327453212716806</v>
      </c>
      <c r="AD131" s="3" cm="1">
        <f t="array" ref="AD131">SUM(((Y131+$B$3:$B$12*Z131)-$C$3:$C$12)*$B$3:$B$12)</f>
        <v>0.29219458081169591</v>
      </c>
    </row>
    <row r="132" spans="25:30" x14ac:dyDescent="0.3">
      <c r="Y132" s="1">
        <f t="shared" si="14"/>
        <v>1.7375143162417701</v>
      </c>
      <c r="Z132" s="1">
        <f t="shared" si="15"/>
        <v>2.6309136831027335</v>
      </c>
      <c r="AA132">
        <f t="shared" si="16"/>
        <v>3.0000000000000001E-3</v>
      </c>
      <c r="AB132" s="2" cm="1">
        <f t="array" ref="AB132">1/10*SUM(((Y132+$B$3:$B$12*Z132)-$C$3:$C$12)^2)</f>
        <v>17.00165611702457</v>
      </c>
      <c r="AC132" s="2" cm="1">
        <f t="array" ref="AC132">SUM(((Y132+$B$3:$B$12*Z132)-$C$3:$C$12))</f>
        <v>-2.0173453162401569</v>
      </c>
      <c r="AD132" s="3" cm="1">
        <f t="array" ref="AD132">SUM(((Y132+$B$3:$B$12*Z132)-$C$3:$C$12)*$B$3:$B$12)</f>
        <v>0.28998092523579222</v>
      </c>
    </row>
    <row r="133" spans="25:30" x14ac:dyDescent="0.3">
      <c r="Y133" s="1">
        <f t="shared" si="14"/>
        <v>1.7435663521904905</v>
      </c>
      <c r="Z133" s="1">
        <f t="shared" si="15"/>
        <v>2.630043740327026</v>
      </c>
      <c r="AA133">
        <f t="shared" si="16"/>
        <v>3.0000000000000001E-3</v>
      </c>
      <c r="AB133" s="2" cm="1">
        <f t="array" ref="AB133">1/10*SUM(((Y133+$B$3:$B$12*Z133)-$C$3:$C$12)^2)</f>
        <v>16.999173295033199</v>
      </c>
      <c r="AC133" s="2" cm="1">
        <f t="array" ref="AC133">SUM(((Y133+$B$3:$B$12*Z133)-$C$3:$C$12))</f>
        <v>-2.002061981089744</v>
      </c>
      <c r="AD133" s="3" cm="1">
        <f t="array" ref="AD133">SUM(((Y133+$B$3:$B$12*Z133)-$C$3:$C$12)*$B$3:$B$12)</f>
        <v>0.28778404023453136</v>
      </c>
    </row>
    <row r="134" spans="25:30" x14ac:dyDescent="0.3">
      <c r="Y134" s="1">
        <f t="shared" si="14"/>
        <v>1.7495725381337597</v>
      </c>
      <c r="Z134" s="1">
        <f t="shared" si="15"/>
        <v>2.6291803882063225</v>
      </c>
      <c r="AA134">
        <f t="shared" si="16"/>
        <v>3.0000000000000001E-3</v>
      </c>
      <c r="AB134" s="2" cm="1">
        <f t="array" ref="AB134">1/10*SUM(((Y134+$B$3:$B$12*Z134)-$C$3:$C$12)^2)</f>
        <v>16.996727950078899</v>
      </c>
      <c r="AC134" s="2" cm="1">
        <f t="array" ref="AC134">SUM(((Y134+$B$3:$B$12*Z134)-$C$3:$C$12))</f>
        <v>-1.9868944319336421</v>
      </c>
      <c r="AD134" s="3" cm="1">
        <f t="array" ref="AD134">SUM(((Y134+$B$3:$B$12*Z134)-$C$3:$C$12)*$B$3:$B$12)</f>
        <v>0.28560379875458181</v>
      </c>
    </row>
    <row r="135" spans="25:30" x14ac:dyDescent="0.3">
      <c r="Y135" s="1">
        <f t="shared" si="14"/>
        <v>1.7555332214295607</v>
      </c>
      <c r="Z135" s="1">
        <f t="shared" si="15"/>
        <v>2.6283235768100588</v>
      </c>
      <c r="AA135">
        <f t="shared" si="16"/>
        <v>3.0000000000000001E-3</v>
      </c>
      <c r="AB135" s="2" cm="1">
        <f t="array" ref="AB135">1/10*SUM(((Y135+$B$3:$B$12*Z135)-$C$3:$C$12)^2)</f>
        <v>16.994319516463321</v>
      </c>
      <c r="AC135" s="2" cm="1">
        <f t="array" ref="AC135">SUM(((Y135+$B$3:$B$12*Z135)-$C$3:$C$12))</f>
        <v>-1.9718417915813395</v>
      </c>
      <c r="AD135" s="3" cm="1">
        <f t="array" ref="AD135">SUM(((Y135+$B$3:$B$12*Z135)-$C$3:$C$12)*$B$3:$B$12)</f>
        <v>0.28344007470535143</v>
      </c>
    </row>
    <row r="136" spans="25:30" x14ac:dyDescent="0.3">
      <c r="Y136" s="1">
        <f t="shared" si="14"/>
        <v>1.7614487468043047</v>
      </c>
      <c r="Z136" s="1">
        <f t="shared" si="15"/>
        <v>2.6274732565859429</v>
      </c>
      <c r="AA136">
        <f t="shared" si="16"/>
        <v>3.0000000000000001E-3</v>
      </c>
      <c r="AB136" s="2" cm="1">
        <f t="array" ref="AB136">1/10*SUM(((Y136+$B$3:$B$12*Z136)-$C$3:$C$12)^2)</f>
        <v>16.991947437027072</v>
      </c>
      <c r="AC136" s="2" cm="1">
        <f t="array" ref="AC136">SUM(((Y136+$B$3:$B$12*Z136)-$C$3:$C$12))</f>
        <v>-1.9569031894879263</v>
      </c>
      <c r="AD136" s="3" cm="1">
        <f t="array" ref="AD136">SUM(((Y136+$B$3:$B$12*Z136)-$C$3:$C$12)*$B$3:$B$12)</f>
        <v>0.28129274295110346</v>
      </c>
    </row>
    <row r="137" spans="25:30" x14ac:dyDescent="0.3">
      <c r="Y137" s="1">
        <f t="shared" si="14"/>
        <v>1.7673194563727685</v>
      </c>
      <c r="Z137" s="1">
        <f t="shared" si="15"/>
        <v>2.6266293783570895</v>
      </c>
      <c r="AA137">
        <f t="shared" si="16"/>
        <v>3.0000000000000001E-3</v>
      </c>
      <c r="AB137" s="2" cm="1">
        <f t="array" ref="AB137">1/10*SUM(((Y137+$B$3:$B$12*Z137)-$C$3:$C$12)^2)</f>
        <v>16.989611163020808</v>
      </c>
      <c r="AC137" s="2" cm="1">
        <f t="array" ref="AC137">SUM(((Y137+$B$3:$B$12*Z137)-$C$3:$C$12))</f>
        <v>-1.9420777617036662</v>
      </c>
      <c r="AD137" s="3" cm="1">
        <f t="array" ref="AD137">SUM(((Y137+$B$3:$B$12*Z137)-$C$3:$C$12)*$B$3:$B$12)</f>
        <v>0.27916167930446073</v>
      </c>
    </row>
    <row r="138" spans="25:30" x14ac:dyDescent="0.3">
      <c r="Y138" s="1">
        <f t="shared" si="14"/>
        <v>1.7731456896578794</v>
      </c>
      <c r="Z138" s="1">
        <f t="shared" si="15"/>
        <v>2.625791893319176</v>
      </c>
      <c r="AA138">
        <f t="shared" si="16"/>
        <v>3.0000000000000001E-3</v>
      </c>
      <c r="AB138" s="2" cm="1">
        <f t="array" ref="AB138">1/10*SUM(((Y138+$B$3:$B$12*Z138)-$C$3:$C$12)^2)</f>
        <v>16.987310153978306</v>
      </c>
      <c r="AC138" s="2" cm="1">
        <f t="array" ref="AC138">SUM(((Y138+$B$3:$B$12*Z138)-$C$3:$C$12))</f>
        <v>-1.9273646508240523</v>
      </c>
      <c r="AD138" s="3" cm="1">
        <f t="array" ref="AD138">SUM(((Y138+$B$3:$B$12*Z138)-$C$3:$C$12)*$B$3:$B$12)</f>
        <v>0.27704676051918964</v>
      </c>
    </row>
    <row r="139" spans="25:30" x14ac:dyDescent="0.3">
      <c r="Y139" s="1">
        <f t="shared" si="14"/>
        <v>1.7789277836103516</v>
      </c>
      <c r="Z139" s="1">
        <f t="shared" si="15"/>
        <v>2.6249607530376182</v>
      </c>
      <c r="AA139">
        <f t="shared" si="16"/>
        <v>3.0000000000000001E-3</v>
      </c>
      <c r="AB139" s="2" cm="1">
        <f t="array" ref="AB139">1/10*SUM(((Y139+$B$3:$B$12*Z139)-$C$3:$C$12)^2)</f>
        <v>16.985043877591433</v>
      </c>
      <c r="AC139" s="2" cm="1">
        <f t="array" ref="AC139">SUM(((Y139+$B$3:$B$12*Z139)-$C$3:$C$12))</f>
        <v>-1.9127630059403375</v>
      </c>
      <c r="AD139" s="3" cm="1">
        <f t="array" ref="AD139">SUM(((Y139+$B$3:$B$12*Z139)-$C$3:$C$12)*$B$3:$B$12)</f>
        <v>0.27494786428184775</v>
      </c>
    </row>
    <row r="140" spans="25:30" x14ac:dyDescent="0.3">
      <c r="Y140" s="1">
        <f t="shared" si="14"/>
        <v>1.7846660726281727</v>
      </c>
      <c r="Z140" s="1">
        <f t="shared" si="15"/>
        <v>2.6241359094447727</v>
      </c>
      <c r="AA140">
        <f t="shared" si="16"/>
        <v>3.0000000000000001E-3</v>
      </c>
      <c r="AB140" s="2" cm="1">
        <f t="array" ref="AB140">1/10*SUM(((Y140+$B$3:$B$12*Z140)-$C$3:$C$12)^2)</f>
        <v>16.982811809586984</v>
      </c>
      <c r="AC140" s="2" cm="1">
        <f t="array" ref="AC140">SUM(((Y140+$B$3:$B$12*Z140)-$C$3:$C$12))</f>
        <v>-1.8982719825900904</v>
      </c>
      <c r="AD140" s="3" cm="1">
        <f t="array" ref="AD140">SUM(((Y140+$B$3:$B$12*Z140)-$C$3:$C$12)*$B$3:$B$12)</f>
        <v>0.27286486920678071</v>
      </c>
    </row>
    <row r="141" spans="25:30" x14ac:dyDescent="0.3">
      <c r="Y141" s="1">
        <f t="shared" si="14"/>
        <v>1.790360888575943</v>
      </c>
      <c r="Z141" s="1">
        <f t="shared" si="15"/>
        <v>2.6233173148371525</v>
      </c>
      <c r="AA141">
        <f t="shared" si="16"/>
        <v>3.0000000000000001E-3</v>
      </c>
      <c r="AB141" s="2" cm="1">
        <f t="array" ref="AB141">1/10*SUM(((Y141+$B$3:$B$12*Z141)-$C$3:$C$12)^2)</f>
        <v>16.980613433605413</v>
      </c>
      <c r="AC141" s="2" cm="1">
        <f t="array" ref="AC141">SUM(((Y141+$B$3:$B$12*Z141)-$C$3:$C$12))</f>
        <v>-1.8838907427086475</v>
      </c>
      <c r="AD141" s="3" cm="1">
        <f t="array" ref="AD141">SUM(((Y141+$B$3:$B$12*Z141)-$C$3:$C$12)*$B$3:$B$12)</f>
        <v>0.27079765482689666</v>
      </c>
    </row>
    <row r="142" spans="25:30" x14ac:dyDescent="0.3">
      <c r="Y142" s="1">
        <f t="shared" si="14"/>
        <v>1.7960125608040689</v>
      </c>
      <c r="Z142" s="1">
        <f t="shared" si="15"/>
        <v>2.6225049218726717</v>
      </c>
      <c r="AA142">
        <f t="shared" si="16"/>
        <v>3.0000000000000001E-3</v>
      </c>
      <c r="AB142" s="2" cm="1">
        <f t="array" ref="AB142">1/10*SUM(((Y142+$B$3:$B$12*Z142)-$C$3:$C$12)^2)</f>
        <v>16.978448241081416</v>
      </c>
      <c r="AC142" s="2" cm="1">
        <f t="array" ref="AC142">SUM(((Y142+$B$3:$B$12*Z142)-$C$3:$C$12))</f>
        <v>-1.8696184545803831</v>
      </c>
      <c r="AD142" s="3" cm="1">
        <f t="array" ref="AD142">SUM(((Y142+$B$3:$B$12*Z142)-$C$3:$C$12)*$B$3:$B$12)</f>
        <v>0.26874610158843665</v>
      </c>
    </row>
    <row r="143" spans="25:30" x14ac:dyDescent="0.3">
      <c r="Y143" s="1">
        <f t="shared" si="14"/>
        <v>1.8016214161678101</v>
      </c>
      <c r="Z143" s="1">
        <f t="shared" si="15"/>
        <v>2.6216986835679066</v>
      </c>
      <c r="AA143">
        <f t="shared" si="16"/>
        <v>3.0000000000000001E-3</v>
      </c>
      <c r="AB143" s="2" cm="1">
        <f t="array" ref="AB143">1/10*SUM(((Y143+$B$3:$B$12*Z143)-$C$3:$C$12)^2)</f>
        <v>16.976315731126185</v>
      </c>
      <c r="AC143" s="2" cm="1">
        <f t="array" ref="AC143">SUM(((Y143+$B$3:$B$12*Z143)-$C$3:$C$12))</f>
        <v>-1.8554542927907676</v>
      </c>
      <c r="AD143" s="3" cm="1">
        <f t="array" ref="AD143">SUM(((Y143+$B$3:$B$12*Z143)-$C$3:$C$12)*$B$3:$B$12)</f>
        <v>0.26671009084304276</v>
      </c>
    </row>
    <row r="144" spans="25:30" x14ac:dyDescent="0.3">
      <c r="Y144" s="1">
        <f t="shared" si="14"/>
        <v>1.8071877790461823</v>
      </c>
      <c r="Z144" s="1">
        <f t="shared" si="15"/>
        <v>2.6208985532953775</v>
      </c>
      <c r="AA144">
        <f t="shared" si="16"/>
        <v>3.0000000000000001E-3</v>
      </c>
      <c r="AB144" s="2" cm="1">
        <f t="array" ref="AB144">1/10*SUM(((Y144+$B$3:$B$12*Z144)-$C$3:$C$12)^2)</f>
        <v>16.974215410411638</v>
      </c>
      <c r="AC144" s="2" cm="1">
        <f t="array" ref="AC144">SUM(((Y144+$B$3:$B$12*Z144)-$C$3:$C$12))</f>
        <v>-1.8413974381785536</v>
      </c>
      <c r="AD144" s="3" cm="1">
        <f t="array" ref="AD144">SUM(((Y144+$B$3:$B$12*Z144)-$C$3:$C$12)*$B$3:$B$12)</f>
        <v>0.26468950484153519</v>
      </c>
    </row>
    <row r="145" spans="25:30" x14ac:dyDescent="0.3">
      <c r="Y145" s="1">
        <f t="shared" si="14"/>
        <v>1.812711971360718</v>
      </c>
      <c r="Z145" s="1">
        <f t="shared" si="15"/>
        <v>2.6201044847808528</v>
      </c>
      <c r="AA145">
        <f t="shared" si="16"/>
        <v>3.0000000000000001E-3</v>
      </c>
      <c r="AB145" s="2" cm="1">
        <f t="array" ref="AB145">1/10*SUM(((Y145+$B$3:$B$12*Z145)-$C$3:$C$12)^2)</f>
        <v>16.97214679305625</v>
      </c>
      <c r="AC145" s="2" cm="1">
        <f t="array" ref="AC145">SUM(((Y145+$B$3:$B$12*Z145)-$C$3:$C$12))</f>
        <v>-1.8274470777884781</v>
      </c>
      <c r="AD145" s="3" cm="1">
        <f t="array" ref="AD145">SUM(((Y145+$B$3:$B$12*Z145)-$C$3:$C$12)*$B$3:$B$12)</f>
        <v>0.26268422672634556</v>
      </c>
    </row>
    <row r="146" spans="25:30" x14ac:dyDescent="0.3">
      <c r="Y146" s="1">
        <f t="shared" si="14"/>
        <v>1.8181943125940834</v>
      </c>
      <c r="Z146" s="1">
        <f t="shared" si="15"/>
        <v>2.6193164321006739</v>
      </c>
      <c r="AA146">
        <f t="shared" si="16"/>
        <v>3.0000000000000001E-3</v>
      </c>
      <c r="AB146" s="2" cm="1">
        <f t="array" ref="AB146">1/10*SUM(((Y146+$B$3:$B$12*Z146)-$C$3:$C$12)^2)</f>
        <v>16.970109400512612</v>
      </c>
      <c r="AC146" s="2" cm="1">
        <f t="array" ref="AC146">SUM(((Y146+$B$3:$B$12*Z146)-$C$3:$C$12))</f>
        <v>-1.813602404824123</v>
      </c>
      <c r="AD146" s="3" cm="1">
        <f t="array" ref="AD146">SUM(((Y146+$B$3:$B$12*Z146)-$C$3:$C$12)*$B$3:$B$12)</f>
        <v>0.26069414052582046</v>
      </c>
    </row>
    <row r="147" spans="25:30" x14ac:dyDescent="0.3">
      <c r="Y147" s="1">
        <f t="shared" si="14"/>
        <v>1.8236351198085556</v>
      </c>
      <c r="Z147" s="1">
        <f t="shared" si="15"/>
        <v>2.6185343496790963</v>
      </c>
      <c r="AA147">
        <f t="shared" si="16"/>
        <v>3.0000000000000001E-3</v>
      </c>
      <c r="AB147" s="2" cm="1">
        <f t="array" ref="AB147">1/10*SUM(((Y147+$B$3:$B$12*Z147)-$C$3:$C$12)^2)</f>
        <v>16.968102761456809</v>
      </c>
      <c r="AC147" s="2" cm="1">
        <f t="array" ref="AC147">SUM(((Y147+$B$3:$B$12*Z147)-$C$3:$C$12))</f>
        <v>-1.7998626186014341</v>
      </c>
      <c r="AD147" s="3" cm="1">
        <f t="array" ref="AD147">SUM(((Y147+$B$3:$B$12*Z147)-$C$3:$C$12)*$B$3:$B$12)</f>
        <v>0.25871913114610406</v>
      </c>
    </row>
    <row r="148" spans="25:30" x14ac:dyDescent="0.3">
      <c r="Y148" s="1">
        <f>Y147-AA147*AC147</f>
        <v>1.82903470766436</v>
      </c>
      <c r="Z148" s="1">
        <f>Z147-AA147*AD147</f>
        <v>2.6177581922856579</v>
      </c>
      <c r="AA148">
        <f>AA147</f>
        <v>3.0000000000000001E-3</v>
      </c>
      <c r="AB148" s="2" cm="1">
        <f t="array" ref="AB148">1/10*SUM(((Y148+$B$3:$B$12*Z148)-$C$3:$C$12)^2)</f>
        <v>16.966126411679326</v>
      </c>
      <c r="AC148" s="2" cm="1">
        <f t="array" ref="AC148">SUM(((Y148+$B$3:$B$12*Z148)-$C$3:$C$12))</f>
        <v>-1.7862269245021998</v>
      </c>
      <c r="AD148" s="3" cm="1">
        <f t="array" ref="AD148">SUM(((Y148+$B$3:$B$12*Z148)-$C$3:$C$12)*$B$3:$B$12)</f>
        <v>0.25675908436609407</v>
      </c>
    </row>
    <row r="149" spans="25:30" x14ac:dyDescent="0.3">
      <c r="Y149" s="1">
        <f t="shared" ref="Y149:Y212" si="17">Y148-AA148*AC148</f>
        <v>1.8343933884378667</v>
      </c>
      <c r="Z149" s="1">
        <f t="shared" ref="Z149:Z212" si="18">Z148-AA148*AD148</f>
        <v>2.6169879150325595</v>
      </c>
      <c r="AA149">
        <f t="shared" ref="AA149:AA212" si="19">AA148</f>
        <v>3.0000000000000001E-3</v>
      </c>
      <c r="AB149" s="2" cm="1">
        <f t="array" ref="AB149">1/10*SUM(((Y149+$B$3:$B$12*Z149)-$C$3:$C$12)^2)</f>
        <v>16.964179893977654</v>
      </c>
      <c r="AC149" s="2" cm="1">
        <f t="array" ref="AC149">SUM(((Y149+$B$3:$B$12*Z149)-$C$3:$C$12))</f>
        <v>-1.7726945339282434</v>
      </c>
      <c r="AD149" s="3" cm="1">
        <f t="array" ref="AD149">SUM(((Y149+$B$3:$B$12*Z149)-$C$3:$C$12)*$B$3:$B$12)</f>
        <v>0.25481388682983236</v>
      </c>
    </row>
    <row r="150" spans="25:30" x14ac:dyDescent="0.3">
      <c r="Y150" s="1">
        <f t="shared" si="17"/>
        <v>1.8397114720396515</v>
      </c>
      <c r="Z150" s="1">
        <f t="shared" si="18"/>
        <v>2.6162234733720702</v>
      </c>
      <c r="AA150">
        <f t="shared" si="19"/>
        <v>3.0000000000000001E-3</v>
      </c>
      <c r="AB150" s="2" cm="1">
        <f t="array" ref="AB150">1/10*SUM(((Y150+$B$3:$B$12*Z150)-$C$3:$C$12)^2)</f>
        <v>16.962262758050556</v>
      </c>
      <c r="AC150" s="2" cm="1">
        <f t="array" ref="AC150">SUM(((Y150+$B$3:$B$12*Z150)-$C$3:$C$12))</f>
        <v>-1.7592646642558369</v>
      </c>
      <c r="AD150" s="3" cm="1">
        <f t="array" ref="AD150">SUM(((Y150+$B$3:$B$12*Z150)-$C$3:$C$12)*$B$3:$B$12)</f>
        <v>0.25288342603960173</v>
      </c>
    </row>
    <row r="151" spans="25:30" x14ac:dyDescent="0.3">
      <c r="Y151" s="1">
        <f t="shared" si="17"/>
        <v>1.844989266032419</v>
      </c>
      <c r="Z151" s="1">
        <f t="shared" si="18"/>
        <v>2.6154648230939515</v>
      </c>
      <c r="AA151">
        <f t="shared" si="19"/>
        <v>3.0000000000000001E-3</v>
      </c>
      <c r="AB151" s="2" cm="1">
        <f t="array" ref="AB151">1/10*SUM(((Y151+$B$3:$B$12*Z151)-$C$3:$C$12)^2)</f>
        <v>16.960374560393898</v>
      </c>
      <c r="AC151" s="2" cm="1">
        <f t="array" ref="AC151">SUM(((Y151+$B$3:$B$12*Z151)-$C$3:$C$12))</f>
        <v>-1.7459365387903469</v>
      </c>
      <c r="AD151" s="3" cm="1">
        <f t="array" ref="AD151">SUM(((Y151+$B$3:$B$12*Z151)-$C$3:$C$12)*$B$3:$B$12)</f>
        <v>0.25096759035031579</v>
      </c>
    </row>
    <row r="152" spans="25:30" x14ac:dyDescent="0.3">
      <c r="Y152" s="1">
        <f t="shared" si="17"/>
        <v>1.85022707564879</v>
      </c>
      <c r="Z152" s="1">
        <f t="shared" si="18"/>
        <v>2.6147119203229003</v>
      </c>
      <c r="AA152">
        <f t="shared" si="19"/>
        <v>3.0000000000000001E-3</v>
      </c>
      <c r="AB152" s="2" cm="1">
        <f t="array" ref="AB152">1/10*SUM(((Y152+$B$3:$B$12*Z152)-$C$3:$C$12)^2)</f>
        <v>16.958514864198012</v>
      </c>
      <c r="AC152" s="2" cm="1">
        <f t="array" ref="AC152">SUM(((Y152+$B$3:$B$12*Z152)-$C$3:$C$12))</f>
        <v>-1.7327093867212904</v>
      </c>
      <c r="AD152" s="3" cm="1">
        <f t="array" ref="AD152">SUM(((Y152+$B$3:$B$12*Z152)-$C$3:$C$12)*$B$3:$B$12)</f>
        <v>0.24906626896313638</v>
      </c>
    </row>
    <row r="153" spans="25:30" x14ac:dyDescent="0.3">
      <c r="Y153" s="1">
        <f t="shared" si="17"/>
        <v>1.8554252038089538</v>
      </c>
      <c r="Z153" s="1">
        <f t="shared" si="18"/>
        <v>2.6139647215160111</v>
      </c>
      <c r="AA153">
        <f t="shared" si="19"/>
        <v>3.0000000000000001E-3</v>
      </c>
      <c r="AB153" s="2" cm="1">
        <f t="array" ref="AB153">1/10*SUM(((Y153+$B$3:$B$12*Z153)-$C$3:$C$12)^2)</f>
        <v>16.956683239246669</v>
      </c>
      <c r="AC153" s="2" cm="1">
        <f t="array" ref="AC153">SUM(((Y153+$B$3:$B$12*Z153)-$C$3:$C$12))</f>
        <v>-1.7195824430778943</v>
      </c>
      <c r="AD153" s="3" cm="1">
        <f t="array" ref="AD153">SUM(((Y153+$B$3:$B$12*Z153)-$C$3:$C$12)*$B$3:$B$12)</f>
        <v>0.2471793519180302</v>
      </c>
    </row>
    <row r="154" spans="25:30" x14ac:dyDescent="0.3">
      <c r="Y154" s="1">
        <f t="shared" si="17"/>
        <v>1.8605839511381874</v>
      </c>
      <c r="Z154" s="1">
        <f t="shared" si="18"/>
        <v>2.6132231834602568</v>
      </c>
      <c r="AA154">
        <f t="shared" si="19"/>
        <v>3.0000000000000001E-3</v>
      </c>
      <c r="AB154" s="2" cm="1">
        <f t="array" ref="AB154">1/10*SUM(((Y154+$B$3:$B$12*Z154)-$C$3:$C$12)^2)</f>
        <v>16.954879261817563</v>
      </c>
      <c r="AC154" s="2" cm="1">
        <f t="array" ref="AC154">SUM(((Y154+$B$3:$B$12*Z154)-$C$3:$C$12))</f>
        <v>-1.7065549486847718</v>
      </c>
      <c r="AD154" s="3" cm="1">
        <f t="array" ref="AD154">SUM(((Y154+$B$3:$B$12*Z154)-$C$3:$C$12)*$B$3:$B$12)</f>
        <v>0.24530673008810061</v>
      </c>
    </row>
    <row r="155" spans="25:30" x14ac:dyDescent="0.3">
      <c r="Y155" s="1">
        <f t="shared" si="17"/>
        <v>1.8657036159842417</v>
      </c>
      <c r="Z155" s="1">
        <f t="shared" si="18"/>
        <v>2.6124872632699927</v>
      </c>
      <c r="AA155">
        <f t="shared" si="19"/>
        <v>3.0000000000000001E-3</v>
      </c>
      <c r="AB155" s="2" cm="1">
        <f t="array" ref="AB155">1/10*SUM(((Y155+$B$3:$B$12*Z155)-$C$3:$C$12)^2)</f>
        <v>16.953102514584266</v>
      </c>
      <c r="AC155" s="2" cm="1">
        <f t="array" ref="AC155">SUM(((Y155+$B$3:$B$12*Z155)-$C$3:$C$12))</f>
        <v>-1.6936261501179688</v>
      </c>
      <c r="AD155" s="3" cm="1">
        <f t="array" ref="AD155">SUM(((Y155+$B$3:$B$12*Z155)-$C$3:$C$12)*$B$3:$B$12)</f>
        <v>0.24344829517346867</v>
      </c>
    </row>
    <row r="156" spans="25:30" x14ac:dyDescent="0.3">
      <c r="Y156" s="1">
        <f t="shared" si="17"/>
        <v>1.8707844944345957</v>
      </c>
      <c r="Z156" s="1">
        <f t="shared" si="18"/>
        <v>2.6117569183844722</v>
      </c>
      <c r="AA156">
        <f t="shared" si="19"/>
        <v>3.0000000000000001E-3</v>
      </c>
      <c r="AB156" s="2" cm="1">
        <f t="array" ref="AB156">1/10*SUM(((Y156+$B$3:$B$12*Z156)-$C$3:$C$12)^2)</f>
        <v>16.951352586519715</v>
      </c>
      <c r="AC156" s="2" cm="1">
        <f t="array" ref="AC156">SUM(((Y156+$B$3:$B$12*Z156)-$C$3:$C$12))</f>
        <v>-1.6807952996614972</v>
      </c>
      <c r="AD156" s="3" cm="1">
        <f t="array" ref="AD156">SUM(((Y156+$B$3:$B$12*Z156)-$C$3:$C$12)*$B$3:$B$12)</f>
        <v>0.24160393969445762</v>
      </c>
    </row>
    <row r="157" spans="25:30" x14ac:dyDescent="0.3">
      <c r="Y157" s="1">
        <f t="shared" si="17"/>
        <v>1.8758268803335802</v>
      </c>
      <c r="Z157" s="1">
        <f t="shared" si="18"/>
        <v>2.6110321065653888</v>
      </c>
      <c r="AA157">
        <f t="shared" si="19"/>
        <v>3.0000000000000001E-3</v>
      </c>
      <c r="AB157" s="2" cm="1">
        <f t="array" ref="AB157">1/10*SUM(((Y157+$B$3:$B$12*Z157)-$C$3:$C$12)^2)</f>
        <v>16.949629072801084</v>
      </c>
      <c r="AC157" s="2" cm="1">
        <f t="array" ref="AC157">SUM(((Y157+$B$3:$B$12*Z157)-$C$3:$C$12))</f>
        <v>-1.6680616552639855</v>
      </c>
      <c r="AD157" s="3" cm="1">
        <f t="array" ref="AD157">SUM(((Y157+$B$3:$B$12*Z157)-$C$3:$C$12)*$B$3:$B$12)</f>
        <v>0.23977355698596944</v>
      </c>
    </row>
    <row r="158" spans="25:30" x14ac:dyDescent="0.3">
      <c r="Y158" s="1">
        <f t="shared" si="17"/>
        <v>1.8808310652993723</v>
      </c>
      <c r="Z158" s="1">
        <f t="shared" si="18"/>
        <v>2.6103127858944308</v>
      </c>
      <c r="AA158">
        <f t="shared" si="19"/>
        <v>3.0000000000000001E-3</v>
      </c>
      <c r="AB158" s="2" cm="1">
        <f t="array" ref="AB158">1/10*SUM(((Y158+$B$3:$B$12*Z158)-$C$3:$C$12)^2)</f>
        <v>16.947931574716183</v>
      </c>
      <c r="AC158" s="2" cm="1">
        <f t="array" ref="AC158">SUM(((Y158+$B$3:$B$12*Z158)-$C$3:$C$12))</f>
        <v>-1.65542448049588</v>
      </c>
      <c r="AD158" s="3" cm="1">
        <f t="array" ref="AD158">SUM(((Y158+$B$3:$B$12*Z158)-$C$3:$C$12)*$B$3:$B$12)</f>
        <v>0.23795704119057282</v>
      </c>
    </row>
    <row r="159" spans="25:30" x14ac:dyDescent="0.3">
      <c r="Y159" s="1">
        <f t="shared" si="17"/>
        <v>1.88579733874086</v>
      </c>
      <c r="Z159" s="1">
        <f t="shared" si="18"/>
        <v>2.6095989147708591</v>
      </c>
      <c r="AA159">
        <f t="shared" si="19"/>
        <v>3.0000000000000001E-3</v>
      </c>
      <c r="AB159" s="2" cm="1">
        <f t="array" ref="AB159">1/10*SUM(((Y159+$B$3:$B$12*Z159)-$C$3:$C$12)^2)</f>
        <v>16.946259699571179</v>
      </c>
      <c r="AC159" s="2" cm="1">
        <f t="array" ref="AC159">SUM(((Y159+$B$3:$B$12*Z159)-$C$3:$C$12))</f>
        <v>-1.6428830445067204</v>
      </c>
      <c r="AD159" s="3" cm="1">
        <f t="array" ref="AD159">SUM(((Y159+$B$3:$B$12*Z159)-$C$3:$C$12)*$B$3:$B$12)</f>
        <v>0.23615428725331356</v>
      </c>
    </row>
    <row r="160" spans="25:30" x14ac:dyDescent="0.3">
      <c r="Y160" s="1">
        <f t="shared" si="17"/>
        <v>1.8907259878743801</v>
      </c>
      <c r="Z160" s="1">
        <f t="shared" si="18"/>
        <v>2.6088904519090992</v>
      </c>
      <c r="AA160">
        <f t="shared" si="19"/>
        <v>3.0000000000000001E-3</v>
      </c>
      <c r="AB160" s="2" cm="1">
        <f t="array" ref="AB160">1/10*SUM(((Y160+$B$3:$B$12*Z160)-$C$3:$C$12)^2)</f>
        <v>16.944613060599785</v>
      </c>
      <c r="AC160" s="2" cm="1">
        <f t="array" ref="AC160">SUM(((Y160+$B$3:$B$12*Z160)-$C$3:$C$12))</f>
        <v>-1.6304366219830504</v>
      </c>
      <c r="AD160" s="3" cm="1">
        <f t="array" ref="AD160">SUM(((Y160+$B$3:$B$12*Z160)-$C$3:$C$12)*$B$3:$B$12)</f>
        <v>0.23436519091434249</v>
      </c>
    </row>
    <row r="161" spans="25:30" x14ac:dyDescent="0.3">
      <c r="Y161" s="1">
        <f t="shared" si="17"/>
        <v>1.8956172977403292</v>
      </c>
      <c r="Z161" s="1">
        <f t="shared" si="18"/>
        <v>2.608187356336356</v>
      </c>
      <c r="AA161">
        <f t="shared" si="19"/>
        <v>3.0000000000000001E-3</v>
      </c>
      <c r="AB161" s="2" cm="1">
        <f t="array" ref="AB161">1/10*SUM(((Y161+$B$3:$B$12*Z161)-$C$3:$C$12)^2)</f>
        <v>16.942991276873748</v>
      </c>
      <c r="AC161" s="2" cm="1">
        <f t="array" ref="AC161">SUM(((Y161+$B$3:$B$12*Z161)-$C$3:$C$12))</f>
        <v>-1.6180844931061973</v>
      </c>
      <c r="AD161" s="3" cm="1">
        <f t="array" ref="AD161">SUM(((Y161+$B$3:$B$12*Z161)-$C$3:$C$12)*$B$3:$B$12)</f>
        <v>0.23258964870485455</v>
      </c>
    </row>
    <row r="162" spans="25:30" x14ac:dyDescent="0.3">
      <c r="Y162" s="1">
        <f t="shared" si="17"/>
        <v>1.9004715512196477</v>
      </c>
      <c r="Z162" s="1">
        <f t="shared" si="18"/>
        <v>2.6074895873902415</v>
      </c>
      <c r="AA162">
        <f t="shared" si="19"/>
        <v>3.0000000000000001E-3</v>
      </c>
      <c r="AB162" s="2" cm="1">
        <f t="array" ref="AB162">1/10*SUM(((Y162+$B$3:$B$12*Z162)-$C$3:$C$12)^2)</f>
        <v>16.941393973214762</v>
      </c>
      <c r="AC162" s="2" cm="1">
        <f t="array" ref="AC162">SUM(((Y162+$B$3:$B$12*Z162)-$C$3:$C$12))</f>
        <v>-1.6058259435109652</v>
      </c>
      <c r="AD162" s="3" cm="1">
        <f t="array" ref="AD162">SUM(((Y162+$B$3:$B$12*Z162)-$C$3:$C$12)*$B$3:$B$12)</f>
        <v>0.23082755793885601</v>
      </c>
    </row>
    <row r="163" spans="25:30" x14ac:dyDescent="0.3">
      <c r="Y163" s="1">
        <f t="shared" si="17"/>
        <v>1.9052890290501807</v>
      </c>
      <c r="Z163" s="1">
        <f t="shared" si="18"/>
        <v>2.6067971047164251</v>
      </c>
      <c r="AA163">
        <f t="shared" si="19"/>
        <v>3.0000000000000001E-3</v>
      </c>
      <c r="AB163" s="2" cm="1">
        <f t="array" ref="AB163">1/10*SUM(((Y163+$B$3:$B$12*Z163)-$C$3:$C$12)^2)</f>
        <v>16.939820780107663</v>
      </c>
      <c r="AC163" s="2" cm="1">
        <f t="array" ref="AC163">SUM(((Y163+$B$3:$B$12*Z163)-$C$3:$C$12))</f>
        <v>-1.5936602642440905</v>
      </c>
      <c r="AD163" s="3" cm="1">
        <f t="array" ref="AD163">SUM(((Y163+$B$3:$B$12*Z163)-$C$3:$C$12)*$B$3:$B$12)</f>
        <v>0.22907881670870509</v>
      </c>
    </row>
    <row r="164" spans="25:30" x14ac:dyDescent="0.3">
      <c r="Y164" s="1">
        <f t="shared" si="17"/>
        <v>1.9100700098429131</v>
      </c>
      <c r="Z164" s="1">
        <f t="shared" si="18"/>
        <v>2.6061098682662989</v>
      </c>
      <c r="AA164">
        <f t="shared" si="19"/>
        <v>3.0000000000000001E-3</v>
      </c>
      <c r="AB164" s="2" cm="1">
        <f t="array" ref="AB164">1/10*SUM(((Y164+$B$3:$B$12*Z164)-$C$3:$C$12)^2)</f>
        <v>16.938271333614949</v>
      </c>
      <c r="AC164" s="2" cm="1">
        <f t="array" ref="AC164">SUM(((Y164+$B$3:$B$12*Z164)-$C$3:$C$12))</f>
        <v>-1.581586751723342</v>
      </c>
      <c r="AD164" s="3" cm="1">
        <f t="array" ref="AD164">SUM(((Y164+$B$3:$B$12*Z164)-$C$3:$C$12)*$B$3:$B$12)</f>
        <v>0.22734332387872058</v>
      </c>
    </row>
    <row r="165" spans="25:30" x14ac:dyDescent="0.3">
      <c r="Y165" s="1">
        <f t="shared" si="17"/>
        <v>1.9148147700980831</v>
      </c>
      <c r="Z165" s="1">
        <f t="shared" si="18"/>
        <v>2.6054278382946627</v>
      </c>
      <c r="AA165">
        <f t="shared" si="19"/>
        <v>3.0000000000000001E-3</v>
      </c>
      <c r="AB165" s="2" cm="1">
        <f t="array" ref="AB165">1/10*SUM(((Y165+$B$3:$B$12*Z165)-$C$3:$C$12)^2)</f>
        <v>16.936745275292566</v>
      </c>
      <c r="AC165" s="2" cm="1">
        <f t="array" ref="AC165">SUM(((Y165+$B$3:$B$12*Z165)-$C$3:$C$12))</f>
        <v>-1.5696047076967128</v>
      </c>
      <c r="AD165" s="3" cm="1">
        <f t="array" ref="AD165">SUM(((Y165+$B$3:$B$12*Z165)-$C$3:$C$12)*$B$3:$B$12)</f>
        <v>0.22562097908001488</v>
      </c>
    </row>
    <row r="166" spans="25:30" x14ac:dyDescent="0.3">
      <c r="Y166" s="1">
        <f t="shared" si="17"/>
        <v>1.9195235842211733</v>
      </c>
      <c r="Z166" s="1">
        <f t="shared" si="18"/>
        <v>2.6047509753574225</v>
      </c>
      <c r="AA166">
        <f t="shared" si="19"/>
        <v>3.0000000000000001E-3</v>
      </c>
      <c r="AB166" s="2" cm="1">
        <f t="array" ref="AB166">1/10*SUM(((Y166+$B$3:$B$12*Z166)-$C$3:$C$12)^2)</f>
        <v>16.935242252107027</v>
      </c>
      <c r="AC166" s="2" cm="1">
        <f t="array" ref="AC166">SUM(((Y166+$B$3:$B$12*Z166)-$C$3:$C$12))</f>
        <v>-1.5577134392022991</v>
      </c>
      <c r="AD166" s="3" cm="1">
        <f t="array" ref="AD166">SUM(((Y166+$B$3:$B$12*Z166)-$C$3:$C$12)*$B$3:$B$12)</f>
        <v>0.22391168270287165</v>
      </c>
    </row>
    <row r="167" spans="25:30" x14ac:dyDescent="0.3">
      <c r="Y167" s="1">
        <f t="shared" si="17"/>
        <v>1.9241967245387801</v>
      </c>
      <c r="Z167" s="1">
        <f t="shared" si="18"/>
        <v>2.6040792403093138</v>
      </c>
      <c r="AA167">
        <f t="shared" si="19"/>
        <v>3.0000000000000001E-3</v>
      </c>
      <c r="AB167" s="2" cm="1">
        <f t="array" ref="AB167">1/10*SUM(((Y167+$B$3:$B$12*Z167)-$C$3:$C$12)^2)</f>
        <v>16.933761916353721</v>
      </c>
      <c r="AC167" s="2" cm="1">
        <f t="array" ref="AC167">SUM(((Y167+$B$3:$B$12*Z167)-$C$3:$C$12))</f>
        <v>-1.5459122585278759</v>
      </c>
      <c r="AD167" s="3" cm="1">
        <f t="array" ref="AD167">SUM(((Y167+$B$3:$B$12*Z167)-$C$3:$C$12)*$B$3:$B$12)</f>
        <v>0.22221533589344344</v>
      </c>
    </row>
    <row r="168" spans="25:30" x14ac:dyDescent="0.3">
      <c r="Y168" s="1">
        <f t="shared" si="17"/>
        <v>1.9288344613143638</v>
      </c>
      <c r="Z168" s="1">
        <f t="shared" si="18"/>
        <v>2.6034125943016333</v>
      </c>
      <c r="AA168">
        <f t="shared" si="19"/>
        <v>3.0000000000000001E-3</v>
      </c>
      <c r="AB168" s="2" cm="1">
        <f t="array" ref="AB168">1/10*SUM(((Y168+$B$3:$B$12*Z168)-$C$3:$C$12)^2)</f>
        <v>16.932303925576445</v>
      </c>
      <c r="AC168" s="2" cm="1">
        <f t="array" ref="AC168">SUM(((Y168+$B$3:$B$12*Z168)-$C$3:$C$12))</f>
        <v>-1.5342004831714382</v>
      </c>
      <c r="AD168" s="3" cm="1">
        <f t="array" ref="AD168">SUM(((Y168+$B$3:$B$12*Z168)-$C$3:$C$12)*$B$3:$B$12)</f>
        <v>0.22053184054583352</v>
      </c>
    </row>
    <row r="169" spans="25:30" x14ac:dyDescent="0.3">
      <c r="Y169" s="1">
        <f t="shared" si="17"/>
        <v>1.9334370627638782</v>
      </c>
      <c r="Z169" s="1">
        <f t="shared" si="18"/>
        <v>2.6027509987799959</v>
      </c>
      <c r="AA169">
        <f t="shared" si="19"/>
        <v>3.0000000000000001E-3</v>
      </c>
      <c r="AB169" s="2" cm="1">
        <f t="array" ref="AB169">1/10*SUM(((Y169+$B$3:$B$12*Z169)-$C$3:$C$12)^2)</f>
        <v>16.930867942488256</v>
      </c>
      <c r="AC169" s="2" cm="1">
        <f t="array" ref="AC169">SUM(((Y169+$B$3:$B$12*Z169)-$C$3:$C$12))</f>
        <v>-1.522577435801427</v>
      </c>
      <c r="AD169" s="3" cm="1">
        <f t="array" ref="AD169">SUM(((Y169+$B$3:$B$12*Z169)-$C$3:$C$12)*$B$3:$B$12)</f>
        <v>0.21886109929860778</v>
      </c>
    </row>
    <row r="170" spans="25:30" x14ac:dyDescent="0.3">
      <c r="Y170" s="1">
        <f t="shared" si="17"/>
        <v>1.9380047950712824</v>
      </c>
      <c r="Z170" s="1">
        <f t="shared" si="18"/>
        <v>2.6020944154821</v>
      </c>
      <c r="AA170">
        <f t="shared" si="19"/>
        <v>3.0000000000000001E-3</v>
      </c>
      <c r="AB170" s="2" cm="1">
        <f t="array" ref="AB170">1/10*SUM(((Y170+$B$3:$B$12*Z170)-$C$3:$C$12)^2)</f>
        <v>16.929453634893356</v>
      </c>
      <c r="AC170" s="2" cm="1">
        <f t="array" ref="AC170">SUM(((Y170+$B$3:$B$12*Z170)-$C$3:$C$12))</f>
        <v>-1.5110424442179822</v>
      </c>
      <c r="AD170" s="3" cm="1">
        <f t="array" ref="AD170">SUM(((Y170+$B$3:$B$12*Z170)-$C$3:$C$12)*$B$3:$B$12)</f>
        <v>0.21720301552603941</v>
      </c>
    </row>
    <row r="171" spans="25:30" x14ac:dyDescent="0.3">
      <c r="Y171" s="1">
        <f t="shared" si="17"/>
        <v>1.9425379224039363</v>
      </c>
      <c r="Z171" s="1">
        <f t="shared" si="18"/>
        <v>2.6014428064355219</v>
      </c>
      <c r="AA171">
        <f t="shared" si="19"/>
        <v>3.0000000000000001E-3</v>
      </c>
      <c r="AB171" s="2" cm="1">
        <f t="array" ref="AB171">1/10*SUM(((Y171+$B$3:$B$12*Z171)-$C$3:$C$12)^2)</f>
        <v>16.928060675610325</v>
      </c>
      <c r="AC171" s="2" cm="1">
        <f t="array" ref="AC171">SUM(((Y171+$B$3:$B$12*Z171)-$C$3:$C$12))</f>
        <v>-1.4995948413135016</v>
      </c>
      <c r="AD171" s="3" cm="1">
        <f t="array" ref="AD171">SUM(((Y171+$B$3:$B$12*Z171)-$C$3:$C$12)*$B$3:$B$12)</f>
        <v>0.2155574933365898</v>
      </c>
    </row>
    <row r="172" spans="25:30" x14ac:dyDescent="0.3">
      <c r="Y172" s="1">
        <f t="shared" si="17"/>
        <v>1.9470367069278769</v>
      </c>
      <c r="Z172" s="1">
        <f t="shared" si="18"/>
        <v>2.6007961339555123</v>
      </c>
      <c r="AA172">
        <f t="shared" si="19"/>
        <v>3.0000000000000001E-3</v>
      </c>
      <c r="AB172" s="2" cm="1">
        <f t="array" ref="AB172">1/10*SUM(((Y172+$B$3:$B$12*Z172)-$C$3:$C$12)^2)</f>
        <v>16.926688742396372</v>
      </c>
      <c r="AC172" s="2" cm="1">
        <f t="array" ref="AC172">SUM(((Y172+$B$3:$B$12*Z172)-$C$3:$C$12))</f>
        <v>-1.4882339650345999</v>
      </c>
      <c r="AD172" s="3" cm="1">
        <f t="array" ref="AD172">SUM(((Y172+$B$3:$B$12*Z172)-$C$3:$C$12)*$B$3:$B$12)</f>
        <v>0.213924437563562</v>
      </c>
    </row>
    <row r="173" spans="25:30" x14ac:dyDescent="0.3">
      <c r="Y173" s="1">
        <f t="shared" si="17"/>
        <v>1.9515014088229807</v>
      </c>
      <c r="Z173" s="1">
        <f t="shared" si="18"/>
        <v>2.6001543606428217</v>
      </c>
      <c r="AA173">
        <f t="shared" si="19"/>
        <v>3.0000000000000001E-3</v>
      </c>
      <c r="AB173" s="2" cm="1">
        <f t="array" ref="AB173">1/10*SUM(((Y173+$B$3:$B$12*Z173)-$C$3:$C$12)^2)</f>
        <v>16.925337517872812</v>
      </c>
      <c r="AC173" s="2" cm="1">
        <f t="array" ref="AC173">SUM(((Y173+$B$3:$B$12*Z173)-$C$3:$C$12))</f>
        <v>-1.4769591583434662</v>
      </c>
      <c r="AD173" s="3" cm="1">
        <f t="array" ref="AD173">SUM(((Y173+$B$3:$B$12*Z173)-$C$3:$C$12)*$B$3:$B$12)</f>
        <v>0.21230375376207816</v>
      </c>
    </row>
    <row r="174" spans="25:30" x14ac:dyDescent="0.3">
      <c r="Y174" s="1">
        <f t="shared" si="17"/>
        <v>1.9559322862980111</v>
      </c>
      <c r="Z174" s="1">
        <f t="shared" si="18"/>
        <v>2.5995174493815356</v>
      </c>
      <c r="AA174">
        <f t="shared" si="19"/>
        <v>3.0000000000000001E-3</v>
      </c>
      <c r="AB174" s="2" cm="1">
        <f t="array" ref="AB174">1/10*SUM(((Y174+$B$3:$B$12*Z174)-$C$3:$C$12)^2)</f>
        <v>16.924006689451641</v>
      </c>
      <c r="AC174" s="2" cm="1">
        <f t="array" ref="AC174">SUM(((Y174+$B$3:$B$12*Z174)-$C$3:$C$12))</f>
        <v>-1.4657697691800378</v>
      </c>
      <c r="AD174" s="3" cm="1">
        <f t="array" ref="AD174">SUM(((Y174+$B$3:$B$12*Z174)-$C$3:$C$12)*$B$3:$B$12)</f>
        <v>0.2106953482023485</v>
      </c>
    </row>
    <row r="175" spans="25:30" x14ac:dyDescent="0.3">
      <c r="Y175" s="1">
        <f t="shared" si="17"/>
        <v>1.9603295956055511</v>
      </c>
      <c r="Z175" s="1">
        <f t="shared" si="18"/>
        <v>2.5988853633369287</v>
      </c>
      <c r="AA175">
        <f t="shared" si="19"/>
        <v>3.0000000000000001E-3</v>
      </c>
      <c r="AB175" s="2" cm="1">
        <f t="array" ref="AB175">1/10*SUM(((Y175+$B$3:$B$12*Z175)-$C$3:$C$12)^2)</f>
        <v>16.922695949263247</v>
      </c>
      <c r="AC175" s="2" cm="1">
        <f t="array" ref="AC175">SUM(((Y175+$B$3:$B$12*Z175)-$C$3:$C$12))</f>
        <v>-1.4546651504242032</v>
      </c>
      <c r="AD175" s="3" cm="1">
        <f t="array" ref="AD175">SUM(((Y175+$B$3:$B$12*Z175)-$C$3:$C$12)*$B$3:$B$12)</f>
        <v>0.20909912786500442</v>
      </c>
    </row>
    <row r="176" spans="25:30" x14ac:dyDescent="0.3">
      <c r="Y176" s="1">
        <f t="shared" si="17"/>
        <v>1.9646935910568237</v>
      </c>
      <c r="Z176" s="1">
        <f t="shared" si="18"/>
        <v>2.5982580659533339</v>
      </c>
      <c r="AA176">
        <f t="shared" si="19"/>
        <v>3.0000000000000001E-3</v>
      </c>
      <c r="AB176" s="2" cm="1">
        <f t="array" ref="AB176">1/10*SUM(((Y176+$B$3:$B$12*Z176)-$C$3:$C$12)^2)</f>
        <v>16.921404994085133</v>
      </c>
      <c r="AC176" s="2" cm="1">
        <f t="array" ref="AC176">SUM(((Y176+$B$3:$B$12*Z176)-$C$3:$C$12))</f>
        <v>-1.4436446598583981</v>
      </c>
      <c r="AD176" s="3" cm="1">
        <f t="array" ref="AD176">SUM(((Y176+$B$3:$B$12*Z176)-$C$3:$C$12)*$B$3:$B$12)</f>
        <v>0.2075150004353439</v>
      </c>
    </row>
    <row r="177" spans="25:30" x14ac:dyDescent="0.3">
      <c r="Y177" s="1">
        <f t="shared" si="17"/>
        <v>1.9690245250363989</v>
      </c>
      <c r="Z177" s="1">
        <f t="shared" si="18"/>
        <v>2.5976355209520277</v>
      </c>
      <c r="AA177">
        <f t="shared" si="19"/>
        <v>3.0000000000000001E-3</v>
      </c>
      <c r="AB177" s="2" cm="1">
        <f t="array" ref="AB177">1/10*SUM(((Y177+$B$3:$B$12*Z177)-$C$3:$C$12)^2)</f>
        <v>16.920133525271833</v>
      </c>
      <c r="AC177" s="2" cm="1">
        <f t="array" ref="AC177">SUM(((Y177+$B$3:$B$12*Z177)-$C$3:$C$12))</f>
        <v>-1.4327076601305748</v>
      </c>
      <c r="AD177" s="3" cm="1">
        <f t="array" ref="AD177">SUM(((Y177+$B$3:$B$12*Z177)-$C$3:$C$12)*$B$3:$B$12)</f>
        <v>0.20594287429737507</v>
      </c>
    </row>
    <row r="178" spans="25:30" x14ac:dyDescent="0.3">
      <c r="Y178" s="1">
        <f t="shared" si="17"/>
        <v>1.9733226480167907</v>
      </c>
      <c r="Z178" s="1">
        <f t="shared" si="18"/>
        <v>2.5970176923291355</v>
      </c>
      <c r="AA178">
        <f t="shared" si="19"/>
        <v>3.0000000000000001E-3</v>
      </c>
      <c r="AB178" s="2" cm="1">
        <f t="array" ref="AB178">1/10*SUM(((Y178+$B$3:$B$12*Z178)-$C$3:$C$12)^2)</f>
        <v>16.918881248685771</v>
      </c>
      <c r="AC178" s="2" cm="1">
        <f t="array" ref="AC178">SUM(((Y178+$B$3:$B$12*Z178)-$C$3:$C$12))</f>
        <v>-1.4218535187170565</v>
      </c>
      <c r="AD178" s="3" cm="1">
        <f t="array" ref="AD178">SUM(((Y178+$B$3:$B$12*Z178)-$C$3:$C$12)*$B$3:$B$12)</f>
        <v>0.20438265853054105</v>
      </c>
    </row>
    <row r="179" spans="25:30" x14ac:dyDescent="0.3">
      <c r="Y179" s="1">
        <f t="shared" si="17"/>
        <v>1.9775882085729419</v>
      </c>
      <c r="Z179" s="1">
        <f t="shared" si="18"/>
        <v>2.5964045443535437</v>
      </c>
      <c r="AA179">
        <f t="shared" si="19"/>
        <v>3.0000000000000001E-3</v>
      </c>
      <c r="AB179" s="2" cm="1">
        <f t="array" ref="AB179">1/10*SUM(((Y179+$B$3:$B$12*Z179)-$C$3:$C$12)^2)</f>
        <v>16.917647874629257</v>
      </c>
      <c r="AC179" s="2" cm="1">
        <f t="array" ref="AC179">SUM(((Y179+$B$3:$B$12*Z179)-$C$3:$C$12))</f>
        <v>-1.4110816078863015</v>
      </c>
      <c r="AD179" s="3" cm="1">
        <f t="array" ref="AD179">SUM(((Y179+$B$3:$B$12*Z179)-$C$3:$C$12)*$B$3:$B$12)</f>
        <v>0.20283426290191142</v>
      </c>
    </row>
    <row r="180" spans="25:30" x14ac:dyDescent="0.3">
      <c r="Y180" s="1">
        <f t="shared" si="17"/>
        <v>1.9818214533966008</v>
      </c>
      <c r="Z180" s="1">
        <f t="shared" si="18"/>
        <v>2.5957960415648378</v>
      </c>
      <c r="AA180">
        <f t="shared" si="19"/>
        <v>3.0000000000000001E-3</v>
      </c>
      <c r="AB180" s="2" cm="1">
        <f t="array" ref="AB180">1/10*SUM(((Y180+$B$3:$B$12*Z180)-$C$3:$C$12)^2)</f>
        <v>16.91643311777743</v>
      </c>
      <c r="AC180" s="2" cm="1">
        <f t="array" ref="AC180">SUM(((Y180+$B$3:$B$12*Z180)-$C$3:$C$12))</f>
        <v>-1.400391304662425</v>
      </c>
      <c r="AD180" s="3" cm="1">
        <f t="array" ref="AD180">SUM(((Y180+$B$3:$B$12*Z180)-$C$3:$C$12)*$B$3:$B$12)</f>
        <v>0.20129759786237711</v>
      </c>
    </row>
    <row r="181" spans="25:30" x14ac:dyDescent="0.3">
      <c r="Y181" s="1">
        <f t="shared" si="17"/>
        <v>1.9860226273105881</v>
      </c>
      <c r="Z181" s="1">
        <f t="shared" si="18"/>
        <v>2.5951921487712508</v>
      </c>
      <c r="AA181">
        <f t="shared" si="19"/>
        <v>3.0000000000000001E-3</v>
      </c>
      <c r="AB181" s="2" cm="1">
        <f t="array" ref="AB181">1/10*SUM(((Y181+$B$3:$B$12*Z181)-$C$3:$C$12)^2)</f>
        <v>16.91523669711232</v>
      </c>
      <c r="AC181" s="2" cm="1">
        <f t="array" ref="AC181">SUM(((Y181+$B$3:$B$12*Z181)-$C$3:$C$12))</f>
        <v>-1.3897819907890714</v>
      </c>
      <c r="AD181" s="3" cm="1">
        <f t="array" ref="AD181">SUM(((Y181+$B$3:$B$12*Z181)-$C$3:$C$12)*$B$3:$B$12)</f>
        <v>0.1997725745418549</v>
      </c>
    </row>
    <row r="182" spans="25:30" x14ac:dyDescent="0.3">
      <c r="Y182" s="1">
        <f t="shared" si="17"/>
        <v>1.9901919732829554</v>
      </c>
      <c r="Z182" s="1">
        <f t="shared" si="18"/>
        <v>2.5945928310476254</v>
      </c>
      <c r="AA182">
        <f t="shared" si="19"/>
        <v>3.0000000000000001E-3</v>
      </c>
      <c r="AB182" s="2" cm="1">
        <f t="array" ref="AB182">1/10*SUM(((Y182+$B$3:$B$12*Z182)-$C$3:$C$12)^2)</f>
        <v>16.914058335857732</v>
      </c>
      <c r="AC182" s="2" cm="1">
        <f t="array" ref="AC182">SUM(((Y182+$B$3:$B$12*Z182)-$C$3:$C$12))</f>
        <v>-1.3792530526939331</v>
      </c>
      <c r="AD182" s="3" cm="1">
        <f t="array" ref="AD182">SUM(((Y182+$B$3:$B$12*Z182)-$C$3:$C$12)*$B$3:$B$12)</f>
        <v>0.19825910474260128</v>
      </c>
    </row>
    <row r="183" spans="25:30" x14ac:dyDescent="0.3">
      <c r="Y183" s="1">
        <f t="shared" si="17"/>
        <v>1.9943297324410372</v>
      </c>
      <c r="Z183" s="1">
        <f t="shared" si="18"/>
        <v>2.5939980537333978</v>
      </c>
      <c r="AA183">
        <f t="shared" si="19"/>
        <v>3.0000000000000001E-3</v>
      </c>
      <c r="AB183" s="2" cm="1">
        <f t="array" ref="AB183">1/10*SUM(((Y183+$B$3:$B$12*Z183)-$C$3:$C$12)^2)</f>
        <v>16.91289776141533</v>
      </c>
      <c r="AC183" s="2" cm="1">
        <f t="array" ref="AC183">SUM(((Y183+$B$3:$B$12*Z183)-$C$3:$C$12))</f>
        <v>-1.3688038814529397</v>
      </c>
      <c r="AD183" s="3" cm="1">
        <f t="array" ref="AD183">SUM(((Y183+$B$3:$B$12*Z183)-$C$3:$C$12)*$B$3:$B$12)</f>
        <v>0.19675710093609877</v>
      </c>
    </row>
    <row r="184" spans="25:30" x14ac:dyDescent="0.3">
      <c r="Y184" s="1">
        <f t="shared" si="17"/>
        <v>1.9984361440853959</v>
      </c>
      <c r="Z184" s="1">
        <f t="shared" si="18"/>
        <v>2.5934077824305897</v>
      </c>
      <c r="AA184">
        <f t="shared" si="19"/>
        <v>3.0000000000000001E-3</v>
      </c>
      <c r="AB184" s="2" cm="1">
        <f t="array" ref="AB184">1/10*SUM(((Y184+$B$3:$B$12*Z184)-$C$3:$C$12)^2)</f>
        <v>16.911754705301487</v>
      </c>
      <c r="AC184" s="2" cm="1">
        <f t="array" ref="AC184">SUM(((Y184+$B$3:$B$12*Z184)-$C$3:$C$12))</f>
        <v>-1.358433872755378</v>
      </c>
      <c r="AD184" s="3" cm="1">
        <f t="array" ref="AD184">SUM(((Y184+$B$3:$B$12*Z184)-$C$3:$C$12)*$B$3:$B$12)</f>
        <v>0.19526647625578092</v>
      </c>
    </row>
    <row r="185" spans="25:30" x14ac:dyDescent="0.3">
      <c r="Y185" s="1">
        <f t="shared" si="17"/>
        <v>2.0025114457036621</v>
      </c>
      <c r="Z185" s="1">
        <f t="shared" si="18"/>
        <v>2.5928219830018224</v>
      </c>
      <c r="AA185">
        <f t="shared" si="19"/>
        <v>3.0000000000000001E-3</v>
      </c>
      <c r="AB185" s="2" cm="1">
        <f t="array" ref="AB185">1/10*SUM(((Y185+$B$3:$B$12*Z185)-$C$3:$C$12)^2)</f>
        <v>16.910628903085211</v>
      </c>
      <c r="AC185" s="2" cm="1">
        <f t="array" ref="AC185">SUM(((Y185+$B$3:$B$12*Z185)-$C$3:$C$12))</f>
        <v>-1.3481424268686233</v>
      </c>
      <c r="AD185" s="3" cm="1">
        <f t="array" ref="AD185">SUM(((Y185+$B$3:$B$12*Z185)-$C$3:$C$12)*$B$3:$B$12)</f>
        <v>0.19378714449422885</v>
      </c>
    </row>
    <row r="186" spans="25:30" x14ac:dyDescent="0.3">
      <c r="Y186" s="1">
        <f t="shared" si="17"/>
        <v>2.0065558729842681</v>
      </c>
      <c r="Z186" s="1">
        <f t="shared" si="18"/>
        <v>2.5922406215683398</v>
      </c>
      <c r="AA186">
        <f t="shared" si="19"/>
        <v>3.0000000000000001E-3</v>
      </c>
      <c r="AB186" s="2" cm="1">
        <f t="array" ref="AB186">1/10*SUM(((Y186+$B$3:$B$12*Z186)-$C$3:$C$12)^2)</f>
        <v>16.909520094327021</v>
      </c>
      <c r="AC186" s="2" cm="1">
        <f t="array" ref="AC186">SUM(((Y186+$B$3:$B$12*Z186)-$C$3:$C$12))</f>
        <v>-1.3379289486036523</v>
      </c>
      <c r="AD186" s="3" cm="1">
        <f t="array" ref="AD186">SUM(((Y186+$B$3:$B$12*Z186)-$C$3:$C$12)*$B$3:$B$12)</f>
        <v>0.19231902009674257</v>
      </c>
    </row>
    <row r="187" spans="25:30" x14ac:dyDescent="0.3">
      <c r="Y187" s="1">
        <f t="shared" si="17"/>
        <v>2.0105696598300788</v>
      </c>
      <c r="Z187" s="1">
        <f t="shared" si="18"/>
        <v>2.5916636645080495</v>
      </c>
      <c r="AA187">
        <f t="shared" si="19"/>
        <v>3.0000000000000001E-3</v>
      </c>
      <c r="AB187" s="2" cm="1">
        <f t="array" ref="AB187">1/10*SUM(((Y187+$B$3:$B$12*Z187)-$C$3:$C$12)^2)</f>
        <v>16.908428022518589</v>
      </c>
      <c r="AC187" s="2" cm="1">
        <f t="array" ref="AC187">SUM(((Y187+$B$3:$B$12*Z187)-$C$3:$C$12))</f>
        <v>-1.3277928472806417</v>
      </c>
      <c r="AD187" s="3" cm="1">
        <f t="array" ref="AD187">SUM(((Y187+$B$3:$B$12*Z187)-$C$3:$C$12)*$B$3:$B$12)</f>
        <v>0.19086201815632575</v>
      </c>
    </row>
    <row r="188" spans="25:30" x14ac:dyDescent="0.3">
      <c r="Y188" s="1">
        <f t="shared" si="17"/>
        <v>2.0145530383719206</v>
      </c>
      <c r="Z188" s="1">
        <f t="shared" si="18"/>
        <v>2.5910910784535806</v>
      </c>
      <c r="AA188">
        <f t="shared" si="19"/>
        <v>3.0000000000000001E-3</v>
      </c>
      <c r="AB188" s="2" cm="1">
        <f t="array" ref="AB188">1/10*SUM(((Y188+$B$3:$B$12*Z188)-$C$3:$C$12)^2)</f>
        <v>16.907352435023494</v>
      </c>
      <c r="AC188" s="2" cm="1">
        <f t="array" ref="AC188">SUM(((Y188+$B$3:$B$12*Z188)-$C$3:$C$12))</f>
        <v>-1.3177335366946021</v>
      </c>
      <c r="AD188" s="3" cm="1">
        <f t="array" ref="AD188">SUM(((Y188+$B$3:$B$12*Z188)-$C$3:$C$12)*$B$3:$B$12)</f>
        <v>0.18941605441021778</v>
      </c>
    </row>
    <row r="189" spans="25:30" x14ac:dyDescent="0.3">
      <c r="Y189" s="1">
        <f t="shared" si="17"/>
        <v>2.0185062389820043</v>
      </c>
      <c r="Z189" s="1">
        <f t="shared" si="18"/>
        <v>2.5905228302903498</v>
      </c>
      <c r="AA189">
        <f t="shared" si="19"/>
        <v>3.0000000000000001E-3</v>
      </c>
      <c r="AB189" s="2" cm="1">
        <f t="array" ref="AB189">1/10*SUM(((Y189+$B$3:$B$12*Z189)-$C$3:$C$12)^2)</f>
        <v>16.906293083018724</v>
      </c>
      <c r="AC189" s="2" cm="1">
        <f t="array" ref="AC189">SUM(((Y189+$B$3:$B$12*Z189)-$C$3:$C$12))</f>
        <v>-1.3077504350817719</v>
      </c>
      <c r="AD189" s="3" cm="1">
        <f t="array" ref="AD189">SUM(((Y189+$B$3:$B$12*Z189)-$C$3:$C$12)*$B$3:$B$12)</f>
        <v>0.18798104523280229</v>
      </c>
    </row>
    <row r="190" spans="25:30" x14ac:dyDescent="0.3">
      <c r="Y190" s="1">
        <f t="shared" si="17"/>
        <v>2.0224294902872497</v>
      </c>
      <c r="Z190" s="1">
        <f t="shared" si="18"/>
        <v>2.5899588871546513</v>
      </c>
      <c r="AA190">
        <f t="shared" si="19"/>
        <v>3.0000000000000001E-3</v>
      </c>
      <c r="AB190" s="2" cm="1">
        <f t="array" ref="AB190">1/10*SUM(((Y190+$B$3:$B$12*Z190)-$C$3:$C$12)^2)</f>
        <v>16.905249721437162</v>
      </c>
      <c r="AC190" s="2" cm="1">
        <f t="array" ref="AC190">SUM(((Y190+$B$3:$B$12*Z190)-$C$3:$C$12))</f>
        <v>-1.2978429650856365</v>
      </c>
      <c r="AD190" s="3" cm="1">
        <f t="array" ref="AD190">SUM(((Y190+$B$3:$B$12*Z190)-$C$3:$C$12)*$B$3:$B$12)</f>
        <v>0.18655690763336494</v>
      </c>
    </row>
    <row r="191" spans="25:30" x14ac:dyDescent="0.3">
      <c r="Y191" s="1">
        <f t="shared" si="17"/>
        <v>2.0263230191825068</v>
      </c>
      <c r="Z191" s="1">
        <f t="shared" si="18"/>
        <v>2.589399216431751</v>
      </c>
      <c r="AA191">
        <f t="shared" si="19"/>
        <v>3.0000000000000001E-3</v>
      </c>
      <c r="AB191" s="2" cm="1">
        <f t="array" ref="AB191">1/10*SUM(((Y191+$B$3:$B$12*Z191)-$C$3:$C$12)^2)</f>
        <v>16.904222108910815</v>
      </c>
      <c r="AC191" s="2" cm="1">
        <f t="array" ref="AC191">SUM(((Y191+$B$3:$B$12*Z191)-$C$3:$C$12))</f>
        <v>-1.2880105537238897</v>
      </c>
      <c r="AD191" s="3" cm="1">
        <f t="array" ref="AD191">SUM(((Y191+$B$3:$B$12*Z191)-$C$3:$C$12)*$B$3:$B$12)</f>
        <v>0.18514355924852666</v>
      </c>
    </row>
    <row r="192" spans="25:30" x14ac:dyDescent="0.3">
      <c r="Y192" s="1">
        <f t="shared" si="17"/>
        <v>2.0301870508436783</v>
      </c>
      <c r="Z192" s="1">
        <f t="shared" si="18"/>
        <v>2.5888437857540052</v>
      </c>
      <c r="AA192">
        <f t="shared" si="19"/>
        <v>3.0000000000000001E-3</v>
      </c>
      <c r="AB192" s="2" cm="1">
        <f t="array" ref="AB192">1/10*SUM(((Y192+$B$3:$B$12*Z192)-$C$3:$C$12)^2)</f>
        <v>16.903210007715085</v>
      </c>
      <c r="AC192" s="2" cm="1">
        <f t="array" ref="AC192">SUM(((Y192+$B$3:$B$12*Z192)-$C$3:$C$12))</f>
        <v>-1.278252632354941</v>
      </c>
      <c r="AD192" s="3" cm="1">
        <f t="array" ref="AD192">SUM(((Y192+$B$3:$B$12*Z192)-$C$3:$C$12)*$B$3:$B$12)</f>
        <v>0.18374091834030609</v>
      </c>
    </row>
    <row r="193" spans="25:30" x14ac:dyDescent="0.3">
      <c r="Y193" s="1">
        <f t="shared" si="17"/>
        <v>2.0340218087407433</v>
      </c>
      <c r="Z193" s="1">
        <f t="shared" si="18"/>
        <v>2.5882925629989844</v>
      </c>
      <c r="AA193">
        <f t="shared" si="19"/>
        <v>3.0000000000000001E-3</v>
      </c>
      <c r="AB193" s="2" cm="1">
        <f t="array" ref="AB193">1/10*SUM(((Y193+$B$3:$B$12*Z193)-$C$3:$C$12)^2)</f>
        <v>16.90221318371368</v>
      </c>
      <c r="AC193" s="2" cm="1">
        <f t="array" ref="AC193">SUM(((Y193+$B$3:$B$12*Z193)-$C$3:$C$12))</f>
        <v>-1.268568636645389</v>
      </c>
      <c r="AD193" s="3" cm="1">
        <f t="array" ref="AD193">SUM(((Y193+$B$3:$B$12*Z193)-$C$3:$C$12)*$B$3:$B$12)</f>
        <v>0.18234890378859914</v>
      </c>
    </row>
    <row r="194" spans="25:30" x14ac:dyDescent="0.3">
      <c r="Y194" s="1">
        <f t="shared" si="17"/>
        <v>2.0378275146506795</v>
      </c>
      <c r="Z194" s="1">
        <f t="shared" si="18"/>
        <v>2.5877455162876184</v>
      </c>
      <c r="AA194">
        <f t="shared" si="19"/>
        <v>3.0000000000000001E-3</v>
      </c>
      <c r="AB194" s="2" cm="1">
        <f t="array" ref="AB194">1/10*SUM(((Y194+$B$3:$B$12*Z194)-$C$3:$C$12)^2)</f>
        <v>16.901231406304493</v>
      </c>
      <c r="AC194" s="2" cm="1">
        <f t="array" ref="AC194">SUM(((Y194+$B$3:$B$12*Z194)-$C$3:$C$12))</f>
        <v>-1.2589580065370498</v>
      </c>
      <c r="AD194" s="3" cm="1">
        <f t="array" ref="AD194">SUM(((Y194+$B$3:$B$12*Z194)-$C$3:$C$12)*$B$3:$B$12)</f>
        <v>0.18096743508895441</v>
      </c>
    </row>
    <row r="195" spans="25:30" x14ac:dyDescent="0.3">
      <c r="Y195" s="1">
        <f t="shared" si="17"/>
        <v>2.0416043886702906</v>
      </c>
      <c r="Z195" s="1">
        <f t="shared" si="18"/>
        <v>2.5872026139823516</v>
      </c>
      <c r="AA195">
        <f t="shared" si="19"/>
        <v>3.0000000000000001E-3</v>
      </c>
      <c r="AB195" s="2" cm="1">
        <f t="array" ref="AB195">1/10*SUM(((Y195+$B$3:$B$12*Z195)-$C$3:$C$12)^2)</f>
        <v>16.900264448366254</v>
      </c>
      <c r="AC195" s="2" cm="1">
        <f t="array" ref="AC195">SUM(((Y195+$B$3:$B$12*Z195)-$C$3:$C$12))</f>
        <v>-1.249420186214814</v>
      </c>
      <c r="AD195" s="3" cm="1">
        <f t="array" ref="AD195">SUM(((Y195+$B$3:$B$12*Z195)-$C$3:$C$12)*$B$3:$B$12)</f>
        <v>0.17959643234612344</v>
      </c>
    </row>
    <row r="196" spans="25:30" x14ac:dyDescent="0.3">
      <c r="Y196" s="1">
        <f t="shared" si="17"/>
        <v>2.0453526492289349</v>
      </c>
      <c r="Z196" s="1">
        <f t="shared" si="18"/>
        <v>2.5866638246853131</v>
      </c>
      <c r="AA196">
        <f t="shared" si="19"/>
        <v>3.0000000000000001E-3</v>
      </c>
      <c r="AB196" s="2" cm="1">
        <f t="array" ref="AB196">1/10*SUM(((Y196+$B$3:$B$12*Z196)-$C$3:$C$12)^2)</f>
        <v>16.899312086205978</v>
      </c>
      <c r="AC196" s="2" cm="1">
        <f t="array" ref="AC196">SUM(((Y196+$B$3:$B$12*Z196)-$C$3:$C$12))</f>
        <v>-1.2399546240743735</v>
      </c>
      <c r="AD196" s="3" cm="1">
        <f t="array" ref="AD196">SUM(((Y196+$B$3:$B$12*Z196)-$C$3:$C$12)*$B$3:$B$12)</f>
        <v>0.17823581627044049</v>
      </c>
    </row>
    <row r="197" spans="25:30" x14ac:dyDescent="0.3">
      <c r="Y197" s="1">
        <f t="shared" si="17"/>
        <v>2.0490725131011582</v>
      </c>
      <c r="Z197" s="1">
        <f t="shared" si="18"/>
        <v>2.586129117236502</v>
      </c>
      <c r="AA197">
        <f t="shared" si="19"/>
        <v>3.0000000000000001E-3</v>
      </c>
      <c r="AB197" s="2" cm="1">
        <f t="array" ref="AB197">1/10*SUM(((Y197+$B$3:$B$12*Z197)-$C$3:$C$12)^2)</f>
        <v>16.898374099507219</v>
      </c>
      <c r="AC197" s="2" cm="1">
        <f t="array" ref="AC197">SUM(((Y197+$B$3:$B$12*Z197)-$C$3:$C$12))</f>
        <v>-1.2305607726903167</v>
      </c>
      <c r="AD197" s="3" cm="1">
        <f t="array" ref="AD197">SUM(((Y197+$B$3:$B$12*Z197)-$C$3:$C$12)*$B$3:$B$12)</f>
        <v>0.17688550817315374</v>
      </c>
    </row>
    <row r="198" spans="25:30" x14ac:dyDescent="0.3">
      <c r="Y198" s="1">
        <f t="shared" si="17"/>
        <v>2.0527641954192291</v>
      </c>
      <c r="Z198" s="1">
        <f t="shared" si="18"/>
        <v>2.5855984607119824</v>
      </c>
      <c r="AA198">
        <f t="shared" si="19"/>
        <v>3.0000000000000001E-3</v>
      </c>
      <c r="AB198" s="2" cm="1">
        <f t="array" ref="AB198">1/10*SUM(((Y198+$B$3:$B$12*Z198)-$C$3:$C$12)^2)</f>
        <v>16.897450271279101</v>
      </c>
      <c r="AC198" s="2" cm="1">
        <f t="array" ref="AC198">SUM(((Y198+$B$3:$B$12*Z198)-$C$3:$C$12))</f>
        <v>-1.2212380887846299</v>
      </c>
      <c r="AD198" s="3" cm="1">
        <f t="array" ref="AD198">SUM(((Y198+$B$3:$B$12*Z198)-$C$3:$C$12)*$B$3:$B$12)</f>
        <v>0.17554542996080968</v>
      </c>
    </row>
    <row r="199" spans="25:30" x14ac:dyDescent="0.3">
      <c r="Y199" s="1">
        <f t="shared" si="17"/>
        <v>2.0564279096855831</v>
      </c>
      <c r="Z199" s="1">
        <f t="shared" si="18"/>
        <v>2.5850718244221</v>
      </c>
      <c r="AA199">
        <f t="shared" si="19"/>
        <v>3.0000000000000001E-3</v>
      </c>
      <c r="AB199" s="2" cm="1">
        <f t="array" ref="AB199">1/10*SUM(((Y199+$B$3:$B$12*Z199)-$C$3:$C$12)^2)</f>
        <v>16.896540387806144</v>
      </c>
      <c r="AC199" s="2" cm="1">
        <f t="array" ref="AC199">SUM(((Y199+$B$3:$B$12*Z199)-$C$3:$C$12))</f>
        <v>-1.2119860331949672</v>
      </c>
      <c r="AD199" s="3" cm="1">
        <f t="array" ref="AD199">SUM(((Y199+$B$3:$B$12*Z199)-$C$3:$C$12)*$B$3:$B$12)</f>
        <v>0.17421550413291484</v>
      </c>
    </row>
    <row r="200" spans="25:30" x14ac:dyDescent="0.3">
      <c r="Y200" s="1">
        <f t="shared" si="17"/>
        <v>2.0600638677851681</v>
      </c>
      <c r="Z200" s="1">
        <f t="shared" si="18"/>
        <v>2.5845491779097012</v>
      </c>
      <c r="AA200">
        <f t="shared" si="19"/>
        <v>3.0000000000000001E-3</v>
      </c>
      <c r="AB200" s="2" cm="1">
        <f t="array" ref="AB200">1/10*SUM(((Y200+$B$3:$B$12*Z200)-$C$3:$C$12)^2)</f>
        <v>16.895644238598777</v>
      </c>
      <c r="AC200" s="2" cm="1">
        <f t="array" ref="AC200">SUM(((Y200+$B$3:$B$12*Z200)-$C$3:$C$12))</f>
        <v>-1.2028040708438645</v>
      </c>
      <c r="AD200" s="3" cm="1">
        <f t="array" ref="AD200">SUM(((Y200+$B$3:$B$12*Z200)-$C$3:$C$12)*$B$3:$B$12)</f>
        <v>0.1728956537746143</v>
      </c>
    </row>
    <row r="201" spans="25:30" x14ac:dyDescent="0.3">
      <c r="Y201" s="1">
        <f t="shared" si="17"/>
        <v>2.0636722799976996</v>
      </c>
      <c r="Z201" s="1">
        <f t="shared" si="18"/>
        <v>2.5840304909483773</v>
      </c>
      <c r="AA201">
        <f t="shared" si="19"/>
        <v>3.0000000000000001E-3</v>
      </c>
      <c r="AB201" s="2" cm="1">
        <f t="array" ref="AB201">1/10*SUM(((Y201+$B$3:$B$12*Z201)-$C$3:$C$12)^2)</f>
        <v>16.894761616344688</v>
      </c>
      <c r="AC201" s="2" cm="1">
        <f t="array" ref="AC201">SUM(((Y201+$B$3:$B$12*Z201)-$C$3:$C$12))</f>
        <v>-1.193691670707385</v>
      </c>
      <c r="AD201" s="3" cm="1">
        <f t="array" ref="AD201">SUM(((Y201+$B$3:$B$12*Z201)-$C$3:$C$12)*$B$3:$B$12)</f>
        <v>0.17158580255525421</v>
      </c>
    </row>
    <row r="202" spans="25:30" x14ac:dyDescent="0.3">
      <c r="Y202" s="1">
        <f t="shared" si="17"/>
        <v>2.067253355009822</v>
      </c>
      <c r="Z202" s="1">
        <f t="shared" si="18"/>
        <v>2.5835157335407115</v>
      </c>
      <c r="AA202">
        <f t="shared" si="19"/>
        <v>3.0000000000000001E-3</v>
      </c>
      <c r="AB202" s="2" cm="1">
        <f t="array" ref="AB202">1/10*SUM(((Y202+$B$3:$B$12*Z202)-$C$3:$C$12)^2)</f>
        <v>16.893892316860835</v>
      </c>
      <c r="AC202" s="2" cm="1">
        <f t="array" ref="AC202">SUM(((Y202+$B$3:$B$12*Z202)-$C$3:$C$12))</f>
        <v>-1.1846483057847852</v>
      </c>
      <c r="AD202" s="3" cm="1">
        <f t="array" ref="AD202">SUM(((Y202+$B$3:$B$12*Z202)-$C$3:$C$12)*$B$3:$B$12)</f>
        <v>0.17028587472109677</v>
      </c>
    </row>
    <row r="203" spans="25:30" x14ac:dyDescent="0.3">
      <c r="Y203" s="1">
        <f t="shared" si="17"/>
        <v>2.0708072999271763</v>
      </c>
      <c r="Z203" s="1">
        <f t="shared" si="18"/>
        <v>2.583004875916548</v>
      </c>
      <c r="AA203">
        <f t="shared" si="19"/>
        <v>3.0000000000000001E-3</v>
      </c>
      <c r="AB203" s="2" cm="1">
        <f t="array" ref="AB203">1/10*SUM(((Y203+$B$3:$B$12*Z203)-$C$3:$C$12)^2)</f>
        <v>16.893036139046242</v>
      </c>
      <c r="AC203" s="2" cm="1">
        <f t="array" ref="AC203">SUM(((Y203+$B$3:$B$12*Z203)-$C$3:$C$12))</f>
        <v>-1.1756734530677484</v>
      </c>
      <c r="AD203" s="3" cm="1">
        <f t="array" ref="AD203">SUM(((Y203+$B$3:$B$12*Z203)-$C$3:$C$12)*$B$3:$B$12)</f>
        <v>0.16899579509318202</v>
      </c>
    </row>
    <row r="204" spans="25:30" x14ac:dyDescent="0.3">
      <c r="Y204" s="1">
        <f t="shared" si="17"/>
        <v>2.0743343202863795</v>
      </c>
      <c r="Z204" s="1">
        <f t="shared" si="18"/>
        <v>2.5824978885312686</v>
      </c>
      <c r="AA204">
        <f t="shared" si="19"/>
        <v>3.0000000000000001E-3</v>
      </c>
      <c r="AB204" s="2" cm="1">
        <f t="array" ref="AB204">1/10*SUM(((Y204+$B$3:$B$12*Z204)-$C$3:$C$12)^2)</f>
        <v>16.892192884835435</v>
      </c>
      <c r="AC204" s="2" cm="1">
        <f t="array" ref="AC204">SUM(((Y204+$B$3:$B$12*Z204)-$C$3:$C$12))</f>
        <v>-1.1667665935102454</v>
      </c>
      <c r="AD204" s="3" cm="1">
        <f t="array" ref="AD204">SUM(((Y204+$B$3:$B$12*Z204)-$C$3:$C$12)*$B$3:$B$12)</f>
        <v>0.16771548906219991</v>
      </c>
    </row>
    <row r="205" spans="25:30" x14ac:dyDescent="0.3">
      <c r="Y205" s="1">
        <f t="shared" si="17"/>
        <v>2.0778346200669104</v>
      </c>
      <c r="Z205" s="1">
        <f t="shared" si="18"/>
        <v>2.5819947420640821</v>
      </c>
      <c r="AA205">
        <f t="shared" si="19"/>
        <v>3.0000000000000001E-3</v>
      </c>
      <c r="AB205" s="2" cm="1">
        <f t="array" ref="AB205">1/10*SUM(((Y205+$B$3:$B$12*Z205)-$C$3:$C$12)^2)</f>
        <v>16.891362359152666</v>
      </c>
      <c r="AC205" s="2" cm="1">
        <f t="array" ref="AC205">SUM(((Y205+$B$3:$B$12*Z205)-$C$3:$C$12))</f>
        <v>-1.1579272119986337</v>
      </c>
      <c r="AD205" s="3" cm="1">
        <f t="array" ref="AD205">SUM(((Y205+$B$3:$B$12*Z205)-$C$3:$C$12)*$B$3:$B$12)</f>
        <v>0.16644488258311368</v>
      </c>
    </row>
    <row r="206" spans="25:30" x14ac:dyDescent="0.3">
      <c r="Y206" s="1">
        <f t="shared" si="17"/>
        <v>2.0813084017029064</v>
      </c>
      <c r="Z206" s="1">
        <f t="shared" si="18"/>
        <v>2.5814954074163325</v>
      </c>
      <c r="AA206">
        <f t="shared" si="19"/>
        <v>3.0000000000000001E-3</v>
      </c>
      <c r="AB206" s="2" cm="1">
        <f t="array" ref="AB206">1/10*SUM(((Y206+$B$3:$B$12*Z206)-$C$3:$C$12)^2)</f>
        <v>16.890544369866756</v>
      </c>
      <c r="AC206" s="2" cm="1">
        <f t="array" ref="AC206">SUM(((Y206+$B$3:$B$12*Z206)-$C$3:$C$12))</f>
        <v>-1.149154797321648</v>
      </c>
      <c r="AD206" s="3" cm="1">
        <f t="array" ref="AD206">SUM(((Y206+$B$3:$B$12*Z206)-$C$3:$C$12)*$B$3:$B$12)</f>
        <v>0.16518390217270779</v>
      </c>
    </row>
    <row r="207" spans="25:30" x14ac:dyDescent="0.3">
      <c r="Y207" s="1">
        <f t="shared" si="17"/>
        <v>2.0847558660948713</v>
      </c>
      <c r="Z207" s="1">
        <f t="shared" si="18"/>
        <v>2.5809998557098144</v>
      </c>
      <c r="AA207">
        <f t="shared" si="19"/>
        <v>3.0000000000000001E-3</v>
      </c>
      <c r="AB207" s="2" cm="1">
        <f t="array" ref="AB207">1/10*SUM(((Y207+$B$3:$B$12*Z207)-$C$3:$C$12)^2)</f>
        <v>16.889738727746646</v>
      </c>
      <c r="AC207" s="2" cm="1">
        <f t="array" ref="AC207">SUM(((Y207+$B$3:$B$12*Z207)-$C$3:$C$12))</f>
        <v>-1.1404488421409491</v>
      </c>
      <c r="AD207" s="3" cm="1">
        <f t="array" ref="AD207">SUM(((Y207+$B$3:$B$12*Z207)-$C$3:$C$12)*$B$3:$B$12)</f>
        <v>0.16393247490440857</v>
      </c>
    </row>
    <row r="208" spans="25:30" x14ac:dyDescent="0.3">
      <c r="Y208" s="1">
        <f t="shared" si="17"/>
        <v>2.0881772126212943</v>
      </c>
      <c r="Z208" s="1">
        <f t="shared" si="18"/>
        <v>2.5805080582851012</v>
      </c>
      <c r="AA208">
        <f t="shared" si="19"/>
        <v>3.0000000000000001E-3</v>
      </c>
      <c r="AB208" s="2" cm="1">
        <f t="array" ref="AB208">1/10*SUM(((Y208+$B$3:$B$12*Z208)-$C$3:$C$12)^2)</f>
        <v>16.888945246417652</v>
      </c>
      <c r="AC208" s="2" cm="1">
        <f t="array" ref="AC208">SUM(((Y208+$B$3:$B$12*Z208)-$C$3:$C$12))</f>
        <v>-1.1318088429618021</v>
      </c>
      <c r="AD208" s="3" cm="1">
        <f t="array" ref="AD208">SUM(((Y208+$B$3:$B$12*Z208)-$C$3:$C$12)*$B$3:$B$12)</f>
        <v>0.16269052840389478</v>
      </c>
    </row>
    <row r="209" spans="25:30" x14ac:dyDescent="0.3">
      <c r="Y209" s="1">
        <f t="shared" si="17"/>
        <v>2.0915726391501797</v>
      </c>
      <c r="Z209" s="1">
        <f t="shared" si="18"/>
        <v>2.5800199866998894</v>
      </c>
      <c r="AA209">
        <f t="shared" si="19"/>
        <v>3.0000000000000001E-3</v>
      </c>
      <c r="AB209" s="2" cm="1">
        <f t="array" ref="AB209">1/10*SUM(((Y209+$B$3:$B$12*Z209)-$C$3:$C$12)^2)</f>
        <v>16.888163742318316</v>
      </c>
      <c r="AC209" s="2" cm="1">
        <f t="array" ref="AC209">SUM(((Y209+$B$3:$B$12*Z209)-$C$3:$C$12))</f>
        <v>-1.1232343001039586</v>
      </c>
      <c r="AD209" s="3" cm="1">
        <f t="array" ref="AD209">SUM(((Y209+$B$3:$B$12*Z209)-$C$3:$C$12)*$B$3:$B$12)</f>
        <v>0.16145799084502171</v>
      </c>
    </row>
    <row r="210" spans="25:30" x14ac:dyDescent="0.3">
      <c r="Y210" s="1">
        <f t="shared" si="17"/>
        <v>2.0949423420504916</v>
      </c>
      <c r="Z210" s="1">
        <f t="shared" si="18"/>
        <v>2.5795356127273545</v>
      </c>
      <c r="AA210">
        <f t="shared" si="19"/>
        <v>3.0000000000000001E-3</v>
      </c>
      <c r="AB210" s="2" cm="1">
        <f t="array" ref="AB210">1/10*SUM(((Y210+$B$3:$B$12*Z210)-$C$3:$C$12)^2)</f>
        <v>16.887394034657948</v>
      </c>
      <c r="AC210" s="2" cm="1">
        <f t="array" ref="AC210">SUM(((Y210+$B$3:$B$12*Z210)-$C$3:$C$12))</f>
        <v>-1.1147247176726554</v>
      </c>
      <c r="AD210" s="3" cm="1">
        <f t="array" ref="AD210">SUM(((Y210+$B$3:$B$12*Z210)-$C$3:$C$12)*$B$3:$B$12)</f>
        <v>0.16023479094622886</v>
      </c>
    </row>
    <row r="211" spans="25:30" x14ac:dyDescent="0.3">
      <c r="Y211" s="1">
        <f t="shared" si="17"/>
        <v>2.0982865162035096</v>
      </c>
      <c r="Z211" s="1">
        <f t="shared" si="18"/>
        <v>2.5790549083545158</v>
      </c>
      <c r="AA211">
        <f t="shared" si="19"/>
        <v>3.0000000000000001E-3</v>
      </c>
      <c r="AB211" s="2" cm="1">
        <f t="array" ref="AB211">1/10*SUM(((Y211+$B$3:$B$12*Z211)-$C$3:$C$12)^2)</f>
        <v>16.886635945374834</v>
      </c>
      <c r="AC211" s="2" cm="1">
        <f t="array" ref="AC211">SUM(((Y211+$B$3:$B$12*Z211)-$C$3:$C$12))</f>
        <v>-1.1062796035300924</v>
      </c>
      <c r="AD211" s="3" cm="1">
        <f t="array" ref="AD211">SUM(((Y211+$B$3:$B$12*Z211)-$C$3:$C$12)*$B$3:$B$12)</f>
        <v>0.15902085796544013</v>
      </c>
    </row>
    <row r="212" spans="25:30" x14ac:dyDescent="0.3">
      <c r="Y212" s="1">
        <f t="shared" si="17"/>
        <v>2.1016053550141001</v>
      </c>
      <c r="Z212" s="1">
        <f t="shared" si="18"/>
        <v>2.5785778457806194</v>
      </c>
      <c r="AA212">
        <f t="shared" si="19"/>
        <v>3.0000000000000001E-3</v>
      </c>
      <c r="AB212" s="2" cm="1">
        <f t="array" ref="AB212">1/10*SUM(((Y212+$B$3:$B$12*Z212)-$C$3:$C$12)^2)</f>
        <v>16.88588929909498</v>
      </c>
      <c r="AC212" s="2" cm="1">
        <f t="array" ref="AC212">SUM(((Y212+$B$3:$B$12*Z212)-$C$3:$C$12))</f>
        <v>-1.0978984692667879</v>
      </c>
      <c r="AD212" s="3" cm="1">
        <f t="array" ref="AD212">SUM(((Y212+$B$3:$B$12*Z212)-$C$3:$C$12)*$B$3:$B$12)</f>
        <v>0.15781612169728518</v>
      </c>
    </row>
    <row r="213" spans="25:30" x14ac:dyDescent="0.3">
      <c r="Y213" s="1">
        <f t="shared" ref="Y213:Y276" si="20">Y212-AA212*AC212</f>
        <v>2.1048990504219005</v>
      </c>
      <c r="Z213" s="1">
        <f t="shared" ref="Z213:Z276" si="21">Z212-AA212*AD212</f>
        <v>2.5781043974155278</v>
      </c>
      <c r="AA213">
        <f t="shared" ref="AA213:AA276" si="22">AA212</f>
        <v>3.0000000000000001E-3</v>
      </c>
      <c r="AB213" s="2" cm="1">
        <f t="array" ref="AB213">1/10*SUM(((Y213+$B$3:$B$12*Z213)-$C$3:$C$12)^2)</f>
        <v>16.885153923091625</v>
      </c>
      <c r="AC213" s="2" cm="1">
        <f t="array" ref="AC213">SUM(((Y213+$B$3:$B$12*Z213)-$C$3:$C$12))</f>
        <v>-1.0895808301735617</v>
      </c>
      <c r="AD213" s="3" cm="1">
        <f t="array" ref="AD213">SUM(((Y213+$B$3:$B$12*Z213)-$C$3:$C$12)*$B$3:$B$12)</f>
        <v>0.15662051246719672</v>
      </c>
    </row>
    <row r="214" spans="25:30" x14ac:dyDescent="0.3">
      <c r="Y214" s="1">
        <f t="shared" si="20"/>
        <v>2.1081677929124214</v>
      </c>
      <c r="Z214" s="1">
        <f t="shared" si="21"/>
        <v>2.5776345358781261</v>
      </c>
      <c r="AA214">
        <f t="shared" si="22"/>
        <v>3.0000000000000001E-3</v>
      </c>
      <c r="AB214" s="2" cm="1">
        <f t="array" ref="AB214">1/10*SUM(((Y214+$B$3:$B$12*Z214)-$C$3:$C$12)^2)</f>
        <v>16.884429647245195</v>
      </c>
      <c r="AC214" s="2" cm="1">
        <f t="array" ref="AC214">SUM(((Y214+$B$3:$B$12*Z214)-$C$3:$C$12))</f>
        <v>-1.0813262052132346</v>
      </c>
      <c r="AD214" s="3" cm="1">
        <f t="array" ref="AD214">SUM(((Y214+$B$3:$B$12*Z214)-$C$3:$C$12)*$B$3:$B$12)</f>
        <v>0.15543396112964913</v>
      </c>
    </row>
    <row r="215" spans="25:30" x14ac:dyDescent="0.3">
      <c r="Y215" s="1">
        <f t="shared" si="20"/>
        <v>2.1114117715280609</v>
      </c>
      <c r="Z215" s="1">
        <f t="shared" si="21"/>
        <v>2.5771682339947373</v>
      </c>
      <c r="AA215">
        <f t="shared" si="22"/>
        <v>3.0000000000000001E-3</v>
      </c>
      <c r="AB215" s="2" cm="1">
        <f t="array" ref="AB215">1/10*SUM(((Y215+$B$3:$B$12*Z215)-$C$3:$C$12)^2)</f>
        <v>16.883716304004025</v>
      </c>
      <c r="AC215" s="2" cm="1">
        <f t="array" ref="AC215">SUM(((Y215+$B$3:$B$12*Z215)-$C$3:$C$12))</f>
        <v>-1.0731341169930513</v>
      </c>
      <c r="AD215" s="3" cm="1">
        <f t="array" ref="AD215">SUM(((Y215+$B$3:$B$12*Z215)-$C$3:$C$12)*$B$3:$B$12)</f>
        <v>0.15425639906205504</v>
      </c>
    </row>
    <row r="216" spans="25:30" x14ac:dyDescent="0.3">
      <c r="Y216" s="1">
        <f t="shared" si="20"/>
        <v>2.1146311738790402</v>
      </c>
      <c r="Z216" s="1">
        <f t="shared" si="21"/>
        <v>2.5767054647975511</v>
      </c>
      <c r="AA216">
        <f t="shared" si="22"/>
        <v>3.0000000000000001E-3</v>
      </c>
      <c r="AB216" s="2" cm="1">
        <f t="array" ref="AB216">1/10*SUM(((Y216+$B$3:$B$12*Z216)-$C$3:$C$12)^2)</f>
        <v>16.883013728345542</v>
      </c>
      <c r="AC216" s="2" cm="1">
        <f t="array" ref="AC216">SUM(((Y216+$B$3:$B$12*Z216)-$C$3:$C$12))</f>
        <v>-1.0650040917369408</v>
      </c>
      <c r="AD216" s="3" cm="1">
        <f t="array" ref="AD216">SUM(((Y216+$B$3:$B$12*Z216)-$C$3:$C$12)*$B$3:$B$12)</f>
        <v>0.15308775816201106</v>
      </c>
    </row>
    <row r="217" spans="25:30" x14ac:dyDescent="0.3">
      <c r="Y217" s="1">
        <f t="shared" si="20"/>
        <v>2.1178261861542511</v>
      </c>
      <c r="Z217" s="1">
        <f t="shared" si="21"/>
        <v>2.5762462015230652</v>
      </c>
      <c r="AA217">
        <f t="shared" si="22"/>
        <v>3.0000000000000001E-3</v>
      </c>
      <c r="AB217" s="2" cm="1">
        <f t="array" ref="AB217">1/10*SUM(((Y217+$B$3:$B$12*Z217)-$C$3:$C$12)^2)</f>
        <v>16.882321757738133</v>
      </c>
      <c r="AC217" s="2" cm="1">
        <f t="array" ref="AC217">SUM(((Y217+$B$3:$B$12*Z217)-$C$3:$C$12))</f>
        <v>-1.0569356592581078</v>
      </c>
      <c r="AD217" s="3" cm="1">
        <f t="array" ref="AD217">SUM(((Y217+$B$3:$B$12*Z217)-$C$3:$C$12)*$B$3:$B$12)</f>
        <v>0.1519279708431803</v>
      </c>
    </row>
    <row r="218" spans="25:30" x14ac:dyDescent="0.3">
      <c r="Y218" s="1">
        <f t="shared" si="20"/>
        <v>2.1209969931320254</v>
      </c>
      <c r="Z218" s="1">
        <f t="shared" si="21"/>
        <v>2.5757904176105355</v>
      </c>
      <c r="AA218">
        <f t="shared" si="22"/>
        <v>3.0000000000000001E-3</v>
      </c>
      <c r="AB218" s="2" cm="1">
        <f t="array" ref="AB218">1/10*SUM(((Y218+$B$3:$B$12*Z218)-$C$3:$C$12)^2)</f>
        <v>16.881640232103489</v>
      </c>
      <c r="AC218" s="2" cm="1">
        <f t="array" ref="AC218">SUM(((Y218+$B$3:$B$12*Z218)-$C$3:$C$12))</f>
        <v>-1.0489283529319078</v>
      </c>
      <c r="AD218" s="3" cm="1">
        <f t="array" ref="AD218">SUM(((Y218+$B$3:$B$12*Z218)-$C$3:$C$12)*$B$3:$B$12)</f>
        <v>0.15077697003113358</v>
      </c>
    </row>
    <row r="219" spans="25:30" x14ac:dyDescent="0.3">
      <c r="Y219" s="1">
        <f t="shared" si="20"/>
        <v>2.1241437781908212</v>
      </c>
      <c r="Z219" s="1">
        <f t="shared" si="21"/>
        <v>2.5753380867004423</v>
      </c>
      <c r="AA219">
        <f t="shared" si="22"/>
        <v>3.0000000000000001E-3</v>
      </c>
      <c r="AB219" s="2" cm="1">
        <f t="array" ref="AB219">1/10*SUM(((Y219+$B$3:$B$12*Z219)-$C$3:$C$12)^2)</f>
        <v>16.88096899377965</v>
      </c>
      <c r="AC219" s="2" cm="1">
        <f t="array" ref="AC219">SUM(((Y219+$B$3:$B$12*Z219)-$C$3:$C$12))</f>
        <v>-1.040981709668797</v>
      </c>
      <c r="AD219" s="3" cm="1">
        <f t="array" ref="AD219">SUM(((Y219+$B$3:$B$12*Z219)-$C$3:$C$12)*$B$3:$B$12)</f>
        <v>0.14963468915976463</v>
      </c>
    </row>
    <row r="220" spans="25:30" x14ac:dyDescent="0.3">
      <c r="Y220" s="1">
        <f t="shared" si="20"/>
        <v>2.1272667233198277</v>
      </c>
      <c r="Z220" s="1">
        <f t="shared" si="21"/>
        <v>2.5748891826329632</v>
      </c>
      <c r="AA220">
        <f t="shared" si="22"/>
        <v>3.0000000000000001E-3</v>
      </c>
      <c r="AB220" s="2" cm="1">
        <f t="array" ref="AB220">1/10*SUM(((Y220+$B$3:$B$12*Z220)-$C$3:$C$12)^2)</f>
        <v>16.880307887484459</v>
      </c>
      <c r="AC220" s="2" cm="1">
        <f t="array" ref="AC220">SUM(((Y220+$B$3:$B$12*Z220)-$C$3:$C$12))</f>
        <v>-1.033095269887637</v>
      </c>
      <c r="AD220" s="3" cm="1">
        <f t="array" ref="AD220">SUM(((Y220+$B$3:$B$12*Z220)-$C$3:$C$12)*$B$3:$B$12)</f>
        <v>0.14850106216686781</v>
      </c>
    </row>
    <row r="221" spans="25:30" x14ac:dyDescent="0.3">
      <c r="Y221" s="1">
        <f t="shared" si="20"/>
        <v>2.1303660091294905</v>
      </c>
      <c r="Z221" s="1">
        <f t="shared" si="21"/>
        <v>2.5744436794464627</v>
      </c>
      <c r="AA221">
        <f t="shared" si="22"/>
        <v>3.0000000000000001E-3</v>
      </c>
      <c r="AB221" s="2" cm="1">
        <f t="array" ref="AB221">1/10*SUM(((Y221+$B$3:$B$12*Z221)-$C$3:$C$12)^2)</f>
        <v>16.879656760279683</v>
      </c>
      <c r="AC221" s="2" cm="1">
        <f t="array" ref="AC221">SUM(((Y221+$B$3:$B$12*Z221)-$C$3:$C$12))</f>
        <v>-1.025268577489034</v>
      </c>
      <c r="AD221" s="3" cm="1">
        <f t="array" ref="AD221">SUM(((Y221+$B$3:$B$12*Z221)-$C$3:$C$12)*$B$3:$B$12)</f>
        <v>0.14737602349094131</v>
      </c>
    </row>
    <row r="222" spans="25:30" x14ac:dyDescent="0.3">
      <c r="Y222" s="1">
        <f t="shared" si="20"/>
        <v>2.1334418148619574</v>
      </c>
      <c r="Z222" s="1">
        <f t="shared" si="21"/>
        <v>2.5740015513759897</v>
      </c>
      <c r="AA222">
        <f t="shared" si="22"/>
        <v>3.0000000000000001E-3</v>
      </c>
      <c r="AB222" s="2" cm="1">
        <f t="array" ref="AB222">1/10*SUM(((Y222+$B$3:$B$12*Z222)-$C$3:$C$12)^2)</f>
        <v>16.879015461535612</v>
      </c>
      <c r="AC222" s="2" cm="1">
        <f t="array" ref="AC222">SUM(((Y222+$B$3:$B$12*Z222)-$C$3:$C$12))</f>
        <v>-1.0175011798289679</v>
      </c>
      <c r="AD222" s="3" cm="1">
        <f t="array" ref="AD222">SUM(((Y222+$B$3:$B$12*Z222)-$C$3:$C$12)*$B$3:$B$12)</f>
        <v>0.14625950806725499</v>
      </c>
    </row>
    <row r="223" spans="25:30" x14ac:dyDescent="0.3">
      <c r="Y223" s="1">
        <f t="shared" si="20"/>
        <v>2.1364943184014442</v>
      </c>
      <c r="Z223" s="1">
        <f t="shared" si="21"/>
        <v>2.5735627728517878</v>
      </c>
      <c r="AA223">
        <f t="shared" si="22"/>
        <v>3.0000000000000001E-3</v>
      </c>
      <c r="AB223" s="2" cm="1">
        <f t="array" ref="AB223">1/10*SUM(((Y223+$B$3:$B$12*Z223)-$C$3:$C$12)^2)</f>
        <v>16.878383842896241</v>
      </c>
      <c r="AC223" s="2" cm="1">
        <f t="array" ref="AC223">SUM(((Y223+$B$3:$B$12*Z223)-$C$3:$C$12))</f>
        <v>-1.0097926276926028</v>
      </c>
      <c r="AD223" s="3" cm="1">
        <f t="array" ref="AD223">SUM(((Y223+$B$3:$B$12*Z223)-$C$3:$C$12)*$B$3:$B$12)</f>
        <v>0.14515145132425927</v>
      </c>
    </row>
    <row r="224" spans="25:30" x14ac:dyDescent="0.3">
      <c r="Y224" s="1">
        <f t="shared" si="20"/>
        <v>2.1395236962845221</v>
      </c>
      <c r="Z224" s="1">
        <f t="shared" si="21"/>
        <v>2.5731273184978152</v>
      </c>
      <c r="AA224">
        <f t="shared" si="22"/>
        <v>3.0000000000000001E-3</v>
      </c>
      <c r="AB224" s="2" cm="1">
        <f t="array" ref="AB224">1/10*SUM(((Y224+$B$3:$B$12*Z224)-$C$3:$C$12)^2)</f>
        <v>16.877761758244912</v>
      </c>
      <c r="AC224" s="2" cm="1">
        <f t="array" ref="AC224">SUM(((Y224+$B$3:$B$12*Z224)-$C$3:$C$12))</f>
        <v>-1.0021424752683963</v>
      </c>
      <c r="AD224" s="3" cm="1">
        <f t="array" ref="AD224">SUM(((Y224+$B$3:$B$12*Z224)-$C$3:$C$12)*$B$3:$B$12)</f>
        <v>0.14405178917920125</v>
      </c>
    </row>
    <row r="225" spans="25:30" x14ac:dyDescent="0.3">
      <c r="Y225" s="1">
        <f t="shared" si="20"/>
        <v>2.1425301237103271</v>
      </c>
      <c r="Z225" s="1">
        <f t="shared" si="21"/>
        <v>2.5726951631302777</v>
      </c>
      <c r="AA225">
        <f t="shared" si="22"/>
        <v>3.0000000000000001E-3</v>
      </c>
      <c r="AB225" s="2" cm="1">
        <f t="array" ref="AB225">1/10*SUM(((Y225+$B$3:$B$12*Z225)-$C$3:$C$12)^2)</f>
        <v>16.877149063670522</v>
      </c>
      <c r="AC225" s="2" cm="1">
        <f t="array" ref="AC225">SUM(((Y225+$B$3:$B$12*Z225)-$C$3:$C$12))</f>
        <v>-0.99455028012229807</v>
      </c>
      <c r="AD225" s="3" cm="1">
        <f t="array" ref="AD225">SUM(((Y225+$B$3:$B$12*Z225)-$C$3:$C$12)*$B$3:$B$12)</f>
        <v>0.14296045803448792</v>
      </c>
    </row>
    <row r="226" spans="25:30" x14ac:dyDescent="0.3">
      <c r="Y226" s="1">
        <f t="shared" si="20"/>
        <v>2.145513774550694</v>
      </c>
      <c r="Z226" s="1">
        <f t="shared" si="21"/>
        <v>2.5722662817561743</v>
      </c>
      <c r="AA226">
        <f t="shared" si="22"/>
        <v>3.0000000000000001E-3</v>
      </c>
      <c r="AB226" s="2" cm="1">
        <f t="array" ref="AB226">1/10*SUM(((Y226+$B$3:$B$12*Z226)-$C$3:$C$12)^2)</f>
        <v>16.876545617434246</v>
      </c>
      <c r="AC226" s="2" cm="1">
        <f t="array" ref="AC226">SUM(((Y226+$B$3:$B$12*Z226)-$C$3:$C$12))</f>
        <v>-0.98701560317200343</v>
      </c>
      <c r="AD226" s="3" cm="1">
        <f t="array" ref="AD226">SUM(((Y226+$B$3:$B$12*Z226)-$C$3:$C$12)*$B$3:$B$12)</f>
        <v>0.14187739477521505</v>
      </c>
    </row>
    <row r="227" spans="25:30" x14ac:dyDescent="0.3">
      <c r="Y227" s="1">
        <f t="shared" si="20"/>
        <v>2.1484748213602098</v>
      </c>
      <c r="Z227" s="1">
        <f t="shared" si="21"/>
        <v>2.5718406495718487</v>
      </c>
      <c r="AA227">
        <f t="shared" si="22"/>
        <v>3.0000000000000001E-3</v>
      </c>
      <c r="AB227" s="2" cm="1">
        <f t="array" ref="AB227">1/10*SUM(((Y227+$B$3:$B$12*Z227)-$C$3:$C$12)^2)</f>
        <v>16.875951279936778</v>
      </c>
      <c r="AC227" s="2" cm="1">
        <f t="array" ref="AC227">SUM(((Y227+$B$3:$B$12*Z227)-$C$3:$C$12))</f>
        <v>-0.97953800866177243</v>
      </c>
      <c r="AD227" s="3" cm="1">
        <f t="array" ref="AD227">SUM(((Y227+$B$3:$B$12*Z227)-$C$3:$C$12)*$B$3:$B$12)</f>
        <v>0.14080253676393326</v>
      </c>
    </row>
    <row r="228" spans="25:30" x14ac:dyDescent="0.3">
      <c r="Y228" s="1">
        <f t="shared" si="20"/>
        <v>2.1514134353861953</v>
      </c>
      <c r="Z228" s="1">
        <f t="shared" si="21"/>
        <v>2.571418241961557</v>
      </c>
      <c r="AA228">
        <f t="shared" si="22"/>
        <v>3.0000000000000001E-3</v>
      </c>
      <c r="AB228" s="2" cm="1">
        <f t="array" ref="AB228">1/10*SUM(((Y228+$B$3:$B$12*Z228)-$C$3:$C$12)^2)</f>
        <v>16.875365913685929</v>
      </c>
      <c r="AC228" s="2" cm="1">
        <f t="array" ref="AC228">SUM(((Y228+$B$3:$B$12*Z228)-$C$3:$C$12))</f>
        <v>-0.9721170641370831</v>
      </c>
      <c r="AD228" s="3" cm="1">
        <f t="array" ref="AD228">SUM(((Y228+$B$3:$B$12*Z228)-$C$3:$C$12)*$B$3:$B$12)</f>
        <v>0.13973582183813632</v>
      </c>
    </row>
    <row r="229" spans="25:30" x14ac:dyDescent="0.3">
      <c r="Y229" s="1">
        <f t="shared" si="20"/>
        <v>2.1543297865786064</v>
      </c>
      <c r="Z229" s="1">
        <f t="shared" si="21"/>
        <v>2.5709990344960425</v>
      </c>
      <c r="AA229">
        <f t="shared" si="22"/>
        <v>3.0000000000000001E-3</v>
      </c>
      <c r="AB229" s="2" cm="1">
        <f t="array" ref="AB229">1/10*SUM(((Y229+$B$3:$B$12*Z229)-$C$3:$C$12)^2)</f>
        <v>16.87478938326494</v>
      </c>
      <c r="AC229" s="2" cm="1">
        <f t="array" ref="AC229">SUM(((Y229+$B$3:$B$12*Z229)-$C$3:$C$12))</f>
        <v>-0.96475234041972335</v>
      </c>
      <c r="AD229" s="3" cm="1">
        <f t="array" ref="AD229">SUM(((Y229+$B$3:$B$12*Z229)-$C$3:$C$12)*$B$3:$B$12)</f>
        <v>0.13867718830590475</v>
      </c>
    </row>
    <row r="230" spans="25:30" x14ac:dyDescent="0.3">
      <c r="Y230" s="1">
        <f t="shared" si="20"/>
        <v>2.1572240435998657</v>
      </c>
      <c r="Z230" s="1">
        <f t="shared" si="21"/>
        <v>2.5705830029311247</v>
      </c>
      <c r="AA230">
        <f t="shared" si="22"/>
        <v>3.0000000000000001E-3</v>
      </c>
      <c r="AB230" s="2" cm="1">
        <f t="array" ref="AB230">1/10*SUM(((Y230+$B$3:$B$12*Z230)-$C$3:$C$12)^2)</f>
        <v>16.874221555301091</v>
      </c>
      <c r="AC230" s="2" cm="1">
        <f t="array" ref="AC230">SUM(((Y230+$B$3:$B$12*Z230)-$C$3:$C$12))</f>
        <v>-0.95744341158286606</v>
      </c>
      <c r="AD230" s="3" cm="1">
        <f t="array" ref="AD230">SUM(((Y230+$B$3:$B$12*Z230)-$C$3:$C$12)*$B$3:$B$12)</f>
        <v>0.13762657494305941</v>
      </c>
    </row>
    <row r="231" spans="25:30" x14ac:dyDescent="0.3">
      <c r="Y231" s="1">
        <f t="shared" si="20"/>
        <v>2.1600963738346142</v>
      </c>
      <c r="Z231" s="1">
        <f t="shared" si="21"/>
        <v>2.5701701232062955</v>
      </c>
      <c r="AA231">
        <f t="shared" si="22"/>
        <v>3.0000000000000001E-3</v>
      </c>
      <c r="AB231" s="2" cm="1">
        <f t="array" ref="AB231">1/10*SUM(((Y231+$B$3:$B$12*Z231)-$C$3:$C$12)^2)</f>
        <v>16.873662298434859</v>
      </c>
      <c r="AC231" s="2" cm="1">
        <f t="array" ref="AC231">SUM(((Y231+$B$3:$B$12*Z231)-$C$3:$C$12))</f>
        <v>-0.9501898549264931</v>
      </c>
      <c r="AD231" s="3" cm="1">
        <f t="array" ref="AD231">SUM(((Y231+$B$3:$B$12*Z231)-$C$3:$C$12)*$B$3:$B$12)</f>
        <v>0.13658392098926839</v>
      </c>
    </row>
    <row r="232" spans="25:30" x14ac:dyDescent="0.3">
      <c r="Y232" s="1">
        <f t="shared" si="20"/>
        <v>2.1629469433993935</v>
      </c>
      <c r="Z232" s="1">
        <f t="shared" si="21"/>
        <v>2.5697603714433277</v>
      </c>
      <c r="AA232">
        <f t="shared" si="22"/>
        <v>3.0000000000000001E-3</v>
      </c>
      <c r="AB232" s="2" cm="1">
        <f t="array" ref="AB232">1/10*SUM(((Y232+$B$3:$B$12*Z232)-$C$3:$C$12)^2)</f>
        <v>16.873111483289534</v>
      </c>
      <c r="AC232" s="2" cm="1">
        <f t="array" ref="AC232">SUM(((Y232+$B$3:$B$12*Z232)-$C$3:$C$12))</f>
        <v>-0.94299125095302649</v>
      </c>
      <c r="AD232" s="3" cm="1">
        <f t="array" ref="AD232">SUM(((Y232+$B$3:$B$12*Z232)-$C$3:$C$12)*$B$3:$B$12)</f>
        <v>0.13554916614386911</v>
      </c>
    </row>
    <row r="233" spans="25:30" x14ac:dyDescent="0.3">
      <c r="Y233" s="1">
        <f t="shared" si="20"/>
        <v>2.1657759171522528</v>
      </c>
      <c r="Z233" s="1">
        <f t="shared" si="21"/>
        <v>2.569353723944896</v>
      </c>
      <c r="AA233">
        <f t="shared" si="22"/>
        <v>3.0000000000000001E-3</v>
      </c>
      <c r="AB233" s="2" cm="1">
        <f t="array" ref="AB233">1/10*SUM(((Y233+$B$3:$B$12*Z233)-$C$3:$C$12)^2)</f>
        <v>16.87256898244129</v>
      </c>
      <c r="AC233" s="2" cm="1">
        <f t="array" ref="AC233">SUM(((Y233+$B$3:$B$12*Z233)-$C$3:$C$12))</f>
        <v>-0.93584718334287764</v>
      </c>
      <c r="AD233" s="3" cm="1">
        <f t="array" ref="AD233">SUM(((Y233+$B$3:$B$12*Z233)-$C$3:$C$12)*$B$3:$B$12)</f>
        <v>0.13452225056387235</v>
      </c>
    </row>
    <row r="234" spans="25:30" x14ac:dyDescent="0.3">
      <c r="Y234" s="1">
        <f t="shared" si="20"/>
        <v>2.1685834587022814</v>
      </c>
      <c r="Z234" s="1">
        <f t="shared" si="21"/>
        <v>2.5689501571932043</v>
      </c>
      <c r="AA234">
        <f t="shared" si="22"/>
        <v>3.0000000000000001E-3</v>
      </c>
      <c r="AB234" s="2" cm="1">
        <f t="array" ref="AB234">1/10*SUM(((Y234+$B$3:$B$12*Z234)-$C$3:$C$12)^2)</f>
        <v>16.872034670389695</v>
      </c>
      <c r="AC234" s="2" cm="1">
        <f t="array" ref="AC234">SUM(((Y234+$B$3:$B$12*Z234)-$C$3:$C$12))</f>
        <v>-0.92875723893057138</v>
      </c>
      <c r="AD234" s="3" cm="1">
        <f t="array" ref="AD234">SUM(((Y234+$B$3:$B$12*Z234)-$C$3:$C$12)*$B$3:$B$12)</f>
        <v>0.13350311485901828</v>
      </c>
    </row>
    <row r="235" spans="25:30" x14ac:dyDescent="0.3">
      <c r="Y235" s="1">
        <f t="shared" si="20"/>
        <v>2.1713697304190731</v>
      </c>
      <c r="Z235" s="1">
        <f t="shared" si="21"/>
        <v>2.5685496478486272</v>
      </c>
      <c r="AA235">
        <f t="shared" si="22"/>
        <v>3.0000000000000001E-3</v>
      </c>
      <c r="AB235" s="2" cm="1">
        <f t="array" ref="AB235">1/10*SUM(((Y235+$B$3:$B$12*Z235)-$C$3:$C$12)^2)</f>
        <v>16.871508423528681</v>
      </c>
      <c r="AC235" s="2" cm="1">
        <f t="array" ref="AC235">SUM(((Y235+$B$3:$B$12*Z235)-$C$3:$C$12))</f>
        <v>-0.92172100768065679</v>
      </c>
      <c r="AD235" s="3" cm="1">
        <f t="array" ref="AD235">SUM(((Y235+$B$3:$B$12*Z235)-$C$3:$C$12)*$B$3:$B$12)</f>
        <v>0.13249170008969954</v>
      </c>
    </row>
    <row r="236" spans="25:30" x14ac:dyDescent="0.3">
      <c r="Y236" s="1">
        <f t="shared" si="20"/>
        <v>2.174134893442115</v>
      </c>
      <c r="Z236" s="1">
        <f t="shared" si="21"/>
        <v>2.5681521727483583</v>
      </c>
      <c r="AA236">
        <f t="shared" si="22"/>
        <v>3.0000000000000001E-3</v>
      </c>
      <c r="AB236" s="2" cm="1">
        <f t="array" ref="AB236">1/10*SUM(((Y236+$B$3:$B$12*Z236)-$C$3:$C$12)^2)</f>
        <v>16.870990120117984</v>
      </c>
      <c r="AC236" s="2" cm="1">
        <f t="array" ref="AC236">SUM(((Y236+$B$3:$B$12*Z236)-$C$3:$C$12))</f>
        <v>-0.91473808266422196</v>
      </c>
      <c r="AD236" s="3" cm="1">
        <f t="array" ref="AD236">SUM(((Y236+$B$3:$B$12*Z236)-$C$3:$C$12)*$B$3:$B$12)</f>
        <v>0.13148794776193426</v>
      </c>
    </row>
    <row r="237" spans="25:30" x14ac:dyDescent="0.3">
      <c r="Y237" s="1">
        <f t="shared" si="20"/>
        <v>2.1768791076901075</v>
      </c>
      <c r="Z237" s="1">
        <f t="shared" si="21"/>
        <v>2.5677577089050723</v>
      </c>
      <c r="AA237">
        <f t="shared" si="22"/>
        <v>3.0000000000000001E-3</v>
      </c>
      <c r="AB237" s="2" cm="1">
        <f t="array" ref="AB237">1/10*SUM(((Y237+$B$3:$B$12*Z237)-$C$3:$C$12)^2)</f>
        <v>16.870479640254931</v>
      </c>
      <c r="AC237" s="2" cm="1">
        <f t="array" ref="AC237">SUM(((Y237+$B$3:$B$12*Z237)-$C$3:$C$12))</f>
        <v>-0.90780806003516368</v>
      </c>
      <c r="AD237" s="3" cm="1">
        <f t="array" ref="AD237">SUM(((Y237+$B$3:$B$12*Z237)-$C$3:$C$12)*$B$3:$B$12)</f>
        <v>0.13049179982534015</v>
      </c>
    </row>
    <row r="238" spans="25:30" x14ac:dyDescent="0.3">
      <c r="Y238" s="1">
        <f t="shared" si="20"/>
        <v>2.1796025318702128</v>
      </c>
      <c r="Z238" s="1">
        <f t="shared" si="21"/>
        <v>2.5673662335055965</v>
      </c>
      <c r="AA238">
        <f t="shared" si="22"/>
        <v>3.0000000000000001E-3</v>
      </c>
      <c r="AB238" s="2" cm="1">
        <f t="array" ref="AB238">1/10*SUM(((Y238+$B$3:$B$12*Z238)-$C$3:$C$12)^2)</f>
        <v>16.869976865846724</v>
      </c>
      <c r="AC238" s="2" cm="1">
        <f t="array" ref="AC238">SUM(((Y238+$B$3:$B$12*Z238)-$C$3:$C$12))</f>
        <v>-0.90093053900685849</v>
      </c>
      <c r="AD238" s="3" cm="1">
        <f t="array" ref="AD238">SUM(((Y238+$B$3:$B$12*Z238)-$C$3:$C$12)*$B$3:$B$12)</f>
        <v>0.129503198669709</v>
      </c>
    </row>
    <row r="239" spans="25:30" x14ac:dyDescent="0.3">
      <c r="Y239" s="1">
        <f t="shared" si="20"/>
        <v>2.1823053234872334</v>
      </c>
      <c r="Z239" s="1">
        <f t="shared" si="21"/>
        <v>2.5669777239095874</v>
      </c>
      <c r="AA239">
        <f t="shared" si="22"/>
        <v>3.0000000000000001E-3</v>
      </c>
      <c r="AB239" s="2" cm="1">
        <f t="array" ref="AB239">1/10*SUM(((Y239+$B$3:$B$12*Z239)-$C$3:$C$12)^2)</f>
        <v>16.869481680583139</v>
      </c>
      <c r="AC239" s="2" cm="1">
        <f t="array" ref="AC239">SUM(((Y239+$B$3:$B$12*Z239)-$C$3:$C$12))</f>
        <v>-0.89410512182911717</v>
      </c>
      <c r="AD239" s="3" cm="1">
        <f t="array" ref="AD239">SUM(((Y239+$B$3:$B$12*Z239)-$C$3:$C$12)*$B$3:$B$12)</f>
        <v>0.12852208712066754</v>
      </c>
    </row>
    <row r="240" spans="25:30" x14ac:dyDescent="0.3">
      <c r="Y240" s="1">
        <f t="shared" si="20"/>
        <v>2.1849876388527205</v>
      </c>
      <c r="Z240" s="1">
        <f t="shared" si="21"/>
        <v>2.5665921576482256</v>
      </c>
      <c r="AA240">
        <f t="shared" si="22"/>
        <v>3.0000000000000001E-3</v>
      </c>
      <c r="AB240" s="2" cm="1">
        <f t="array" ref="AB240">1/10*SUM(((Y240+$B$3:$B$12*Z240)-$C$3:$C$12)^2)</f>
        <v>16.868993969909571</v>
      </c>
      <c r="AC240" s="2" cm="1">
        <f t="array" ref="AC240">SUM(((Y240+$B$3:$B$12*Z240)-$C$3:$C$12))</f>
        <v>-0.88733141376506808</v>
      </c>
      <c r="AD240" s="3" cm="1">
        <f t="array" ref="AD240">SUM(((Y240+$B$3:$B$12*Z240)-$C$3:$C$12)*$B$3:$B$12)</f>
        <v>0.12754840843706389</v>
      </c>
    </row>
    <row r="241" spans="25:30" x14ac:dyDescent="0.3">
      <c r="Y241" s="1">
        <f t="shared" si="20"/>
        <v>2.1876496330940158</v>
      </c>
      <c r="Z241" s="1">
        <f t="shared" si="21"/>
        <v>2.5662095124229145</v>
      </c>
      <c r="AA241">
        <f t="shared" si="22"/>
        <v>3.0000000000000001E-3</v>
      </c>
      <c r="AB241" s="2" cm="1">
        <f t="array" ref="AB241">1/10*SUM(((Y241+$B$3:$B$12*Z241)-$C$3:$C$12)^2)</f>
        <v>16.868513621000584</v>
      </c>
      <c r="AC241" s="2" cm="1">
        <f t="array" ref="AC241">SUM(((Y241+$B$3:$B$12*Z241)-$C$3:$C$12))</f>
        <v>-0.88060902306829547</v>
      </c>
      <c r="AD241" s="3" cm="1">
        <f t="array" ref="AD241">SUM(((Y241+$B$3:$B$12*Z241)-$C$3:$C$12)*$B$3:$B$12)</f>
        <v>0.12658210630806649</v>
      </c>
    </row>
    <row r="242" spans="25:30" x14ac:dyDescent="0.3">
      <c r="Y242" s="1">
        <f t="shared" si="20"/>
        <v>2.1902914601632206</v>
      </c>
      <c r="Z242" s="1">
        <f t="shared" si="21"/>
        <v>2.5658297661039904</v>
      </c>
      <c r="AA242">
        <f t="shared" si="22"/>
        <v>3.0000000000000001E-3</v>
      </c>
      <c r="AB242" s="2" cm="1">
        <f t="array" ref="AB242">1/10*SUM(((Y242+$B$3:$B$12*Z242)-$C$3:$C$12)^2)</f>
        <v>16.868040522733789</v>
      </c>
      <c r="AC242" s="2" cm="1">
        <f t="array" ref="AC242">SUM(((Y242+$B$3:$B$12*Z242)-$C$3:$C$12))</f>
        <v>-0.87393756096030017</v>
      </c>
      <c r="AD242" s="3" cm="1">
        <f t="array" ref="AD242">SUM(((Y242+$B$3:$B$12*Z242)-$C$3:$C$12)*$B$3:$B$12)</f>
        <v>0.1256231248490387</v>
      </c>
    </row>
    <row r="243" spans="25:30" x14ac:dyDescent="0.3">
      <c r="Y243" s="1">
        <f t="shared" si="20"/>
        <v>2.1929132728461016</v>
      </c>
      <c r="Z243" s="1">
        <f t="shared" si="21"/>
        <v>2.5654528967294432</v>
      </c>
      <c r="AA243">
        <f t="shared" si="22"/>
        <v>3.0000000000000001E-3</v>
      </c>
      <c r="AB243" s="2" cm="1">
        <f t="array" ref="AB243">1/10*SUM(((Y243+$B$3:$B$12*Z243)-$C$3:$C$12)^2)</f>
        <v>16.867574565664111</v>
      </c>
      <c r="AC243" s="2" cm="1">
        <f t="array" ref="AC243">SUM(((Y243+$B$3:$B$12*Z243)-$C$3:$C$12))</f>
        <v>-0.86731664160793986</v>
      </c>
      <c r="AD243" s="3" cm="1">
        <f t="array" ref="AD243">SUM(((Y243+$B$3:$B$12*Z243)-$C$3:$C$12)*$B$3:$B$12)</f>
        <v>0.1246714085988252</v>
      </c>
    </row>
    <row r="244" spans="25:30" x14ac:dyDescent="0.3">
      <c r="Y244" s="1">
        <f t="shared" si="20"/>
        <v>2.1955152227709256</v>
      </c>
      <c r="Z244" s="1">
        <f t="shared" si="21"/>
        <v>2.5650788825036468</v>
      </c>
      <c r="AA244">
        <f t="shared" si="22"/>
        <v>3.0000000000000001E-3</v>
      </c>
      <c r="AB244" s="2" cm="1">
        <f t="array" ref="AB244">1/10*SUM(((Y244+$B$3:$B$12*Z244)-$C$3:$C$12)^2)</f>
        <v>16.867115641998545</v>
      </c>
      <c r="AC244" s="2" cm="1">
        <f t="array" ref="AC244">SUM(((Y244+$B$3:$B$12*Z244)-$C$3:$C$12))</f>
        <v>-0.86074588210111536</v>
      </c>
      <c r="AD244" s="3" cm="1">
        <f t="array" ref="AD244">SUM(((Y244+$B$3:$B$12*Z244)-$C$3:$C$12)*$B$3:$B$12)</f>
        <v>0.12372690251654248</v>
      </c>
    </row>
    <row r="245" spans="25:30" x14ac:dyDescent="0.3">
      <c r="Y245" s="1">
        <f t="shared" si="20"/>
        <v>2.198097460417229</v>
      </c>
      <c r="Z245" s="1">
        <f t="shared" si="21"/>
        <v>2.5647077017960971</v>
      </c>
      <c r="AA245">
        <f t="shared" si="22"/>
        <v>3.0000000000000001E-3</v>
      </c>
      <c r="AB245" s="2" cm="1">
        <f t="array" ref="AB245">1/10*SUM(((Y245+$B$3:$B$12*Z245)-$C$3:$C$12)^2)</f>
        <v>16.866663645571137</v>
      </c>
      <c r="AC245" s="2" cm="1">
        <f t="array" ref="AC245">SUM(((Y245+$B$3:$B$12*Z245)-$C$3:$C$12))</f>
        <v>-0.85422490243065941</v>
      </c>
      <c r="AD245" s="3" cm="1">
        <f t="array" ref="AD245">SUM(((Y245+$B$3:$B$12*Z245)-$C$3:$C$12)*$B$3:$B$12)</f>
        <v>0.12278955197816188</v>
      </c>
    </row>
    <row r="246" spans="25:30" x14ac:dyDescent="0.3">
      <c r="Y246" s="1">
        <f t="shared" si="20"/>
        <v>2.200660135124521</v>
      </c>
      <c r="Z246" s="1">
        <f t="shared" si="21"/>
        <v>2.5643393331401625</v>
      </c>
      <c r="AA246">
        <f t="shared" si="22"/>
        <v>3.0000000000000001E-3</v>
      </c>
      <c r="AB246" s="2" cm="1">
        <f t="array" ref="AB246">1/10*SUM(((Y246+$B$3:$B$12*Z246)-$C$3:$C$12)^2)</f>
        <v>16.866218471818453</v>
      </c>
      <c r="AC246" s="2" cm="1">
        <f t="array" ref="AC246">SUM(((Y246+$B$3:$B$12*Z246)-$C$3:$C$12))</f>
        <v>-0.84775332546633919</v>
      </c>
      <c r="AD246" s="3" cm="1">
        <f t="array" ref="AD246">SUM(((Y246+$B$3:$B$12*Z246)-$C$3:$C$12)*$B$3:$B$12)</f>
        <v>0.12185930277350251</v>
      </c>
    </row>
    <row r="247" spans="25:30" x14ac:dyDescent="0.3">
      <c r="Y247" s="1">
        <f t="shared" si="20"/>
        <v>2.2032033951009198</v>
      </c>
      <c r="Z247" s="1">
        <f t="shared" si="21"/>
        <v>2.5639737552318418</v>
      </c>
      <c r="AA247">
        <f t="shared" si="22"/>
        <v>3.0000000000000001E-3</v>
      </c>
      <c r="AB247" s="2" cm="1">
        <f t="array" ref="AB247">1/10*SUM(((Y247+$B$3:$B$12*Z247)-$C$3:$C$12)^2)</f>
        <v>16.865780017755423</v>
      </c>
      <c r="AC247" s="2" cm="1">
        <f t="array" ref="AC247">SUM(((Y247+$B$3:$B$12*Z247)-$C$3:$C$12))</f>
        <v>-0.84133077693502312</v>
      </c>
      <c r="AD247" s="3" cm="1">
        <f t="array" ref="AD247">SUM(((Y247+$B$3:$B$12*Z247)-$C$3:$C$12)*$B$3:$B$12)</f>
        <v>0.12093610110319659</v>
      </c>
    </row>
    <row r="248" spans="25:30" x14ac:dyDescent="0.3">
      <c r="Y248" s="1">
        <f t="shared" si="20"/>
        <v>2.2057273874317249</v>
      </c>
      <c r="Z248" s="1">
        <f t="shared" si="21"/>
        <v>2.5636109469285322</v>
      </c>
      <c r="AA248">
        <f t="shared" si="22"/>
        <v>3.0000000000000001E-3</v>
      </c>
      <c r="AB248" s="2" cm="1">
        <f t="array" ref="AB248">1/10*SUM(((Y248+$B$3:$B$12*Z248)-$C$3:$C$12)^2)</f>
        <v>16.865348181951468</v>
      </c>
      <c r="AC248" s="2" cm="1">
        <f t="array" ref="AC248">SUM(((Y248+$B$3:$B$12*Z248)-$C$3:$C$12))</f>
        <v>-0.83495688539907942</v>
      </c>
      <c r="AD248" s="3" cm="1">
        <f t="array" ref="AD248">SUM(((Y248+$B$3:$B$12*Z248)-$C$3:$C$12)*$B$3:$B$12)</f>
        <v>0.12001989357537823</v>
      </c>
    </row>
    <row r="249" spans="25:30" x14ac:dyDescent="0.3">
      <c r="Y249" s="1">
        <f t="shared" si="20"/>
        <v>2.2082322580879223</v>
      </c>
      <c r="Z249" s="1">
        <f t="shared" si="21"/>
        <v>2.5632508872478059</v>
      </c>
      <c r="AA249">
        <f t="shared" si="22"/>
        <v>3.0000000000000001E-3</v>
      </c>
      <c r="AB249" s="2" cm="1">
        <f t="array" ref="AB249">1/10*SUM(((Y249+$B$3:$B$12*Z249)-$C$3:$C$12)^2)</f>
        <v>16.864922864507061</v>
      </c>
      <c r="AC249" s="2" cm="1">
        <f t="array" ref="AC249">SUM(((Y249+$B$3:$B$12*Z249)-$C$3:$C$12))</f>
        <v>-0.82863128223487781</v>
      </c>
      <c r="AD249" s="3" cm="1">
        <f t="array" ref="AD249">SUM(((Y249+$B$3:$B$12*Z249)-$C$3:$C$12)*$B$3:$B$12)</f>
        <v>0.11911062720262394</v>
      </c>
    </row>
    <row r="250" spans="25:30" x14ac:dyDescent="0.3">
      <c r="Y250" s="1">
        <f t="shared" si="20"/>
        <v>2.2107181519346271</v>
      </c>
      <c r="Z250" s="1">
        <f t="shared" si="21"/>
        <v>2.5628935553661982</v>
      </c>
      <c r="AA250">
        <f t="shared" si="22"/>
        <v>3.0000000000000001E-3</v>
      </c>
      <c r="AB250" s="2" cm="1">
        <f t="array" ref="AB250">1/10*SUM(((Y250+$B$3:$B$12*Z250)-$C$3:$C$12)^2)</f>
        <v>16.864503967030611</v>
      </c>
      <c r="AC250" s="2" cm="1">
        <f t="array" ref="AC250">SUM(((Y250+$B$3:$B$12*Z250)-$C$3:$C$12))</f>
        <v>-0.82235360161141724</v>
      </c>
      <c r="AD250" s="3" cm="1">
        <f t="array" ref="AD250">SUM(((Y250+$B$3:$B$12*Z250)-$C$3:$C$12)*$B$3:$B$12)</f>
        <v>0.11820824939934127</v>
      </c>
    </row>
    <row r="251" spans="25:30" x14ac:dyDescent="0.3">
      <c r="Y251" s="1">
        <f t="shared" si="20"/>
        <v>2.2131852127394613</v>
      </c>
      <c r="Z251" s="1">
        <f t="shared" si="21"/>
        <v>2.5625389306180004</v>
      </c>
      <c r="AA251">
        <f t="shared" si="22"/>
        <v>3.0000000000000001E-3</v>
      </c>
      <c r="AB251" s="2" cm="1">
        <f t="array" ref="AB251">1/10*SUM(((Y251+$B$3:$B$12*Z251)-$C$3:$C$12)^2)</f>
        <v>16.864091392615716</v>
      </c>
      <c r="AC251" s="2" cm="1">
        <f t="array" ref="AC251">SUM(((Y251+$B$3:$B$12*Z251)-$C$3:$C$12))</f>
        <v>-0.81612348046936578</v>
      </c>
      <c r="AD251" s="3" cm="1">
        <f t="array" ref="AD251">SUM(((Y251+$B$3:$B$12*Z251)-$C$3:$C$12)*$B$3:$B$12)</f>
        <v>0.11731270797718096</v>
      </c>
    </row>
    <row r="252" spans="25:30" x14ac:dyDescent="0.3">
      <c r="Y252" s="1">
        <f t="shared" si="20"/>
        <v>2.2156335831808693</v>
      </c>
      <c r="Z252" s="1">
        <f t="shared" si="21"/>
        <v>2.5621869924940688</v>
      </c>
      <c r="AA252">
        <f t="shared" si="22"/>
        <v>3.0000000000000001E-3</v>
      </c>
      <c r="AB252" s="2" cm="1">
        <f t="array" ref="AB252">1/10*SUM(((Y252+$B$3:$B$12*Z252)-$C$3:$C$12)^2)</f>
        <v>16.863685045818695</v>
      </c>
      <c r="AC252" s="2" cm="1">
        <f t="array" ref="AC252">SUM(((Y252+$B$3:$B$12*Z252)-$C$3:$C$12))</f>
        <v>-0.80994055849973723</v>
      </c>
      <c r="AD252" s="3" cm="1">
        <f t="array" ref="AD252">SUM(((Y252+$B$3:$B$12*Z252)-$C$3:$C$12)*$B$3:$B$12)</f>
        <v>0.11642395114452811</v>
      </c>
    </row>
    <row r="253" spans="25:30" x14ac:dyDescent="0.3">
      <c r="Y253" s="1">
        <f t="shared" si="20"/>
        <v>2.2180634048563688</v>
      </c>
      <c r="Z253" s="1">
        <f t="shared" si="21"/>
        <v>2.5618377206406353</v>
      </c>
      <c r="AA253">
        <f t="shared" si="22"/>
        <v>3.0000000000000001E-3</v>
      </c>
      <c r="AB253" s="2" cm="1">
        <f t="array" ref="AB253">1/10*SUM(((Y253+$B$3:$B$12*Z253)-$C$3:$C$12)^2)</f>
        <v>16.863284832636591</v>
      </c>
      <c r="AC253" s="2" cm="1">
        <f t="array" ref="AC253">SUM(((Y253+$B$3:$B$12*Z253)-$C$3:$C$12))</f>
        <v>-0.80380447812327471</v>
      </c>
      <c r="AD253" s="3" cm="1">
        <f t="array" ref="AD253">SUM(((Y253+$B$3:$B$12*Z253)-$C$3:$C$12)*$B$3:$B$12)</f>
        <v>0.1155419275018211</v>
      </c>
    </row>
    <row r="254" spans="25:30" x14ac:dyDescent="0.3">
      <c r="Y254" s="1">
        <f t="shared" si="20"/>
        <v>2.2204748182907386</v>
      </c>
      <c r="Z254" s="1">
        <f t="shared" si="21"/>
        <v>2.56149109485813</v>
      </c>
      <c r="AA254">
        <f t="shared" si="22"/>
        <v>3.0000000000000001E-3</v>
      </c>
      <c r="AB254" s="2" cm="1">
        <f t="array" ref="AB254">1/10*SUM(((Y254+$B$3:$B$12*Z254)-$C$3:$C$12)^2)</f>
        <v>16.862890660485331</v>
      </c>
      <c r="AC254" s="2" cm="1">
        <f t="array" ref="AC254">SUM(((Y254+$B$3:$B$12*Z254)-$C$3:$C$12))</f>
        <v>-0.79771488446985561</v>
      </c>
      <c r="AD254" s="3" cm="1">
        <f t="array" ref="AD254">SUM(((Y254+$B$3:$B$12*Z254)-$C$3:$C$12)*$B$3:$B$12)</f>
        <v>0.11466658603800325</v>
      </c>
    </row>
    <row r="255" spans="25:30" x14ac:dyDescent="0.3">
      <c r="Y255" s="1">
        <f t="shared" si="20"/>
        <v>2.2228679629441483</v>
      </c>
      <c r="Z255" s="1">
        <f t="shared" si="21"/>
        <v>2.5611470951000159</v>
      </c>
      <c r="AA255">
        <f t="shared" si="22"/>
        <v>3.0000000000000001E-3</v>
      </c>
      <c r="AB255" s="2" cm="1">
        <f t="array" ref="AB255">1/10*SUM(((Y255+$B$3:$B$12*Z255)-$C$3:$C$12)^2)</f>
        <v>16.862502438178407</v>
      </c>
      <c r="AC255" s="2" cm="1">
        <f t="array" ref="AC255">SUM(((Y255+$B$3:$B$12*Z255)-$C$3:$C$12))</f>
        <v>-0.79167142535769042</v>
      </c>
      <c r="AD255" s="3" cm="1">
        <f t="array" ref="AD255">SUM(((Y255+$B$3:$B$12*Z255)-$C$3:$C$12)*$B$3:$B$12)</f>
        <v>0.11379787612949671</v>
      </c>
    </row>
    <row r="256" spans="25:30" x14ac:dyDescent="0.3">
      <c r="Y256" s="1">
        <f t="shared" si="20"/>
        <v>2.2252429772202214</v>
      </c>
      <c r="Z256" s="1">
        <f t="shared" si="21"/>
        <v>2.5608057014716272</v>
      </c>
      <c r="AA256">
        <f t="shared" si="22"/>
        <v>3.0000000000000001E-3</v>
      </c>
      <c r="AB256" s="2" cm="1">
        <f t="array" ref="AB256">1/10*SUM(((Y256+$B$3:$B$12*Z256)-$C$3:$C$12)^2)</f>
        <v>16.862120075905679</v>
      </c>
      <c r="AC256" s="2" cm="1">
        <f t="array" ref="AC256">SUM(((Y256+$B$3:$B$12*Z256)-$C$3:$C$12))</f>
        <v>-0.78567375127317085</v>
      </c>
      <c r="AD256" s="3" cm="1">
        <f t="array" ref="AD256">SUM(((Y256+$B$3:$B$12*Z256)-$C$3:$C$12)*$B$3:$B$12)</f>
        <v>0.11293574753588728</v>
      </c>
    </row>
    <row r="257" spans="25:30" x14ac:dyDescent="0.3">
      <c r="Y257" s="1">
        <f t="shared" si="20"/>
        <v>2.2275999984740409</v>
      </c>
      <c r="Z257" s="1">
        <f t="shared" si="21"/>
        <v>2.5604668942290196</v>
      </c>
      <c r="AA257">
        <f t="shared" si="22"/>
        <v>3.0000000000000001E-3</v>
      </c>
      <c r="AB257" s="2" cm="1">
        <f t="array" ref="AB257">1/10*SUM(((Y257+$B$3:$B$12*Z257)-$C$3:$C$12)^2)</f>
        <v>16.861743485212685</v>
      </c>
      <c r="AC257" s="2" cm="1">
        <f t="array" ref="AC257">SUM(((Y257+$B$3:$B$12*Z257)-$C$3:$C$12))</f>
        <v>-0.77972151535057677</v>
      </c>
      <c r="AD257" s="3" cm="1">
        <f t="array" ref="AD257">SUM(((Y257+$B$3:$B$12*Z257)-$C$3:$C$12)*$B$3:$B$12)</f>
        <v>0.11208015039736238</v>
      </c>
    </row>
    <row r="258" spans="25:30" x14ac:dyDescent="0.3">
      <c r="Y258" s="1">
        <f t="shared" si="20"/>
        <v>2.2299391630200924</v>
      </c>
      <c r="Z258" s="1">
        <f t="shared" si="21"/>
        <v>2.5601306537778274</v>
      </c>
      <c r="AA258">
        <f t="shared" si="22"/>
        <v>3.0000000000000001E-3</v>
      </c>
      <c r="AB258" s="2" cm="1">
        <f t="array" ref="AB258">1/10*SUM(((Y258+$B$3:$B$12*Z258)-$C$3:$C$12)^2)</f>
        <v>16.861372578980117</v>
      </c>
      <c r="AC258" s="2" cm="1">
        <f t="array" ref="AC258">SUM(((Y258+$B$3:$B$12*Z258)-$C$3:$C$12))</f>
        <v>-0.77381437335205749</v>
      </c>
      <c r="AD258" s="3" cm="1">
        <f t="array" ref="AD258">SUM(((Y258+$B$3:$B$12*Z258)-$C$3:$C$12)*$B$3:$B$12)</f>
        <v>0.11123103523171879</v>
      </c>
    </row>
    <row r="259" spans="25:30" x14ac:dyDescent="0.3">
      <c r="Y259" s="1">
        <f t="shared" si="20"/>
        <v>2.2322606061401484</v>
      </c>
      <c r="Z259" s="1">
        <f t="shared" si="21"/>
        <v>2.5597969606721325</v>
      </c>
      <c r="AA259">
        <f t="shared" si="22"/>
        <v>3.0000000000000001E-3</v>
      </c>
      <c r="AB259" s="2" cm="1">
        <f t="array" ref="AB259">1/10*SUM(((Y259+$B$3:$B$12*Z259)-$C$3:$C$12)^2)</f>
        <v>16.861007271403704</v>
      </c>
      <c r="AC259" s="2" cm="1">
        <f t="array" ref="AC259">SUM(((Y259+$B$3:$B$12*Z259)-$C$3:$C$12))</f>
        <v>-0.76795198364763362</v>
      </c>
      <c r="AD259" s="3" cm="1">
        <f t="array" ref="AD259">SUM(((Y259+$B$3:$B$12*Z259)-$C$3:$C$12)*$B$3:$B$12)</f>
        <v>0.11038835293209175</v>
      </c>
    </row>
    <row r="260" spans="25:30" x14ac:dyDescent="0.3">
      <c r="Y260" s="1">
        <f t="shared" si="20"/>
        <v>2.2345644620910914</v>
      </c>
      <c r="Z260" s="1">
        <f t="shared" si="21"/>
        <v>2.559465795613336</v>
      </c>
      <c r="AA260">
        <f t="shared" si="22"/>
        <v>3.0000000000000001E-3</v>
      </c>
      <c r="AB260" s="2" cm="1">
        <f t="array" ref="AB260">1/10*SUM(((Y260+$B$3:$B$12*Z260)-$C$3:$C$12)^2)</f>
        <v>16.860647477974364</v>
      </c>
      <c r="AC260" s="2" cm="1">
        <f t="array" ref="AC260">SUM(((Y260+$B$3:$B$12*Z260)-$C$3:$C$12))</f>
        <v>-0.76213400719560997</v>
      </c>
      <c r="AD260" s="3" cm="1">
        <f t="array" ref="AD260">SUM(((Y260+$B$3:$B$12*Z260)-$C$3:$C$12)*$B$3:$B$12)</f>
        <v>0.10955205476282047</v>
      </c>
    </row>
    <row r="261" spans="25:30" x14ac:dyDescent="0.3">
      <c r="Y261" s="1">
        <f t="shared" si="20"/>
        <v>2.2368508641126783</v>
      </c>
      <c r="Z261" s="1">
        <f t="shared" si="21"/>
        <v>2.5591371394490476</v>
      </c>
      <c r="AA261">
        <f t="shared" si="22"/>
        <v>3.0000000000000001E-3</v>
      </c>
      <c r="AB261" s="2" cm="1">
        <f t="array" ref="AB261">1/10*SUM(((Y261+$B$3:$B$12*Z261)-$C$3:$C$12)^2)</f>
        <v>16.860293115458596</v>
      </c>
      <c r="AC261" s="2" cm="1">
        <f t="array" ref="AC261">SUM(((Y261+$B$3:$B$12*Z261)-$C$3:$C$12))</f>
        <v>-0.75636010752274174</v>
      </c>
      <c r="AD261" s="3" cm="1">
        <f t="array" ref="AD261">SUM(((Y261+$B$3:$B$12*Z261)-$C$3:$C$12)*$B$3:$B$12)</f>
        <v>0.10872209235833595</v>
      </c>
    </row>
    <row r="262" spans="25:30" x14ac:dyDescent="0.3">
      <c r="Y262" s="1">
        <f t="shared" si="20"/>
        <v>2.2391199444352465</v>
      </c>
      <c r="Z262" s="1">
        <f t="shared" si="21"/>
        <v>2.5588109731719726</v>
      </c>
      <c r="AA262">
        <f t="shared" si="22"/>
        <v>3.0000000000000001E-3</v>
      </c>
      <c r="AB262" s="2" cm="1">
        <f t="array" ref="AB262">1/10*SUM(((Y262+$B$3:$B$12*Z262)-$C$3:$C$12)^2)</f>
        <v>16.859944101879318</v>
      </c>
      <c r="AC262" s="2" cm="1">
        <f t="array" ref="AC262">SUM(((Y262+$B$3:$B$12*Z262)-$C$3:$C$12))</f>
        <v>-0.75062995070496985</v>
      </c>
      <c r="AD262" s="3" cm="1">
        <f t="array" ref="AD262">SUM(((Y262+$B$3:$B$12*Z262)-$C$3:$C$12)*$B$3:$B$12)</f>
        <v>0.10789841771892199</v>
      </c>
    </row>
    <row r="263" spans="25:30" x14ac:dyDescent="0.3">
      <c r="Y263" s="1">
        <f t="shared" si="20"/>
        <v>2.2413718342873614</v>
      </c>
      <c r="Z263" s="1">
        <f t="shared" si="21"/>
        <v>2.5584872779188159</v>
      </c>
      <c r="AA263">
        <f t="shared" si="22"/>
        <v>3.0000000000000001E-3</v>
      </c>
      <c r="AB263" s="2" cm="1">
        <f t="array" ref="AB263">1/10*SUM(((Y263+$B$3:$B$12*Z263)-$C$3:$C$12)^2)</f>
        <v>16.859600356496838</v>
      </c>
      <c r="AC263" s="2" cm="1">
        <f t="array" ref="AC263">SUM(((Y263+$B$3:$B$12*Z263)-$C$3:$C$12))</f>
        <v>-0.74494320534796454</v>
      </c>
      <c r="AD263" s="3" cm="1">
        <f t="array" ref="AD263">SUM(((Y263+$B$3:$B$12*Z263)-$C$3:$C$12)*$B$3:$B$12)</f>
        <v>0.10708098320901414</v>
      </c>
    </row>
    <row r="264" spans="25:30" x14ac:dyDescent="0.3">
      <c r="Y264" s="1">
        <f t="shared" si="20"/>
        <v>2.2436066639034054</v>
      </c>
      <c r="Z264" s="1">
        <f t="shared" si="21"/>
        <v>2.5581660349691888</v>
      </c>
      <c r="AA264">
        <f t="shared" si="22"/>
        <v>3.0000000000000001E-3</v>
      </c>
      <c r="AB264" s="2" cm="1">
        <f t="array" ref="AB264">1/10*SUM(((Y264+$B$3:$B$12*Z264)-$C$3:$C$12)^2)</f>
        <v>16.859261799790175</v>
      </c>
      <c r="AC264" s="2" cm="1">
        <f t="array" ref="AC264">SUM(((Y264+$B$3:$B$12*Z264)-$C$3:$C$12))</f>
        <v>-0.73929954256812369</v>
      </c>
      <c r="AD264" s="3" cm="1">
        <f t="array" ref="AD264">SUM(((Y264+$B$3:$B$12*Z264)-$C$3:$C$12)*$B$3:$B$12)</f>
        <v>0.10626974155322913</v>
      </c>
    </row>
    <row r="265" spans="25:30" x14ac:dyDescent="0.3">
      <c r="Y265" s="1">
        <f t="shared" si="20"/>
        <v>2.2458245625311095</v>
      </c>
      <c r="Z265" s="1">
        <f t="shared" si="21"/>
        <v>2.5578472257445291</v>
      </c>
      <c r="AA265">
        <f t="shared" si="22"/>
        <v>3.0000000000000001E-3</v>
      </c>
      <c r="AB265" s="2" cm="1">
        <f t="array" ref="AB265">1/10*SUM(((Y265+$B$3:$B$12*Z265)-$C$3:$C$12)^2)</f>
        <v>16.85892835343871</v>
      </c>
      <c r="AC265" s="2" cm="1">
        <f t="array" ref="AC265">SUM(((Y265+$B$3:$B$12*Z265)-$C$3:$C$12))</f>
        <v>-0.73369863597340057</v>
      </c>
      <c r="AD265" s="3" cm="1">
        <f t="array" ref="AD265">SUM(((Y265+$B$3:$B$12*Z265)-$C$3:$C$12)*$B$3:$B$12)</f>
        <v>0.10546464583469728</v>
      </c>
    </row>
    <row r="266" spans="25:30" x14ac:dyDescent="0.3">
      <c r="Y266" s="1">
        <f t="shared" si="20"/>
        <v>2.2480256584390297</v>
      </c>
      <c r="Z266" s="1">
        <f t="shared" si="21"/>
        <v>2.5575308318070249</v>
      </c>
      <c r="AA266">
        <f t="shared" si="22"/>
        <v>3.0000000000000001E-3</v>
      </c>
      <c r="AB266" s="2" cm="1">
        <f t="array" ref="AB266">1/10*SUM(((Y266+$B$3:$B$12*Z266)-$C$3:$C$12)^2)</f>
        <v>16.858599940304014</v>
      </c>
      <c r="AC266" s="2" cm="1">
        <f t="array" ref="AC266">SUM(((Y266+$B$3:$B$12*Z266)-$C$3:$C$12))</f>
        <v>-0.72814016164441053</v>
      </c>
      <c r="AD266" s="3" cm="1">
        <f t="array" ref="AD266">SUM(((Y266+$B$3:$B$12*Z266)-$C$3:$C$12)*$B$3:$B$12)</f>
        <v>0.10466564949255641</v>
      </c>
    </row>
    <row r="267" spans="25:30" x14ac:dyDescent="0.3">
      <c r="Y267" s="1">
        <f t="shared" si="20"/>
        <v>2.250210078923963</v>
      </c>
      <c r="Z267" s="1">
        <f t="shared" si="21"/>
        <v>2.5572168348585471</v>
      </c>
      <c r="AA267">
        <f t="shared" si="22"/>
        <v>3.0000000000000001E-3</v>
      </c>
      <c r="AB267" s="2" cm="1">
        <f t="array" ref="AB267">1/10*SUM(((Y267+$B$3:$B$12*Z267)-$C$3:$C$12)^2)</f>
        <v>16.858276484412031</v>
      </c>
      <c r="AC267" s="2" cm="1">
        <f t="array" ref="AC267">SUM(((Y267+$B$3:$B$12*Z267)-$C$3:$C$12))</f>
        <v>-0.72262379811592314</v>
      </c>
      <c r="AD267" s="3" cm="1">
        <f t="array" ref="AD267">SUM(((Y267+$B$3:$B$12*Z267)-$C$3:$C$12)*$B$3:$B$12)</f>
        <v>0.10387270631759193</v>
      </c>
    </row>
    <row r="268" spans="25:30" x14ac:dyDescent="0.3">
      <c r="Y268" s="1">
        <f t="shared" si="20"/>
        <v>2.2523779503183108</v>
      </c>
      <c r="Z268" s="1">
        <f t="shared" si="21"/>
        <v>2.5569052167395943</v>
      </c>
      <c r="AA268">
        <f t="shared" si="22"/>
        <v>3.0000000000000001E-3</v>
      </c>
      <c r="AB268" s="2" cm="1">
        <f t="array" ref="AB268">1/10*SUM(((Y268+$B$3:$B$12*Z268)-$C$3:$C$12)^2)</f>
        <v>16.85795791093549</v>
      </c>
      <c r="AC268" s="2" cm="1">
        <f t="array" ref="AC268">SUM(((Y268+$B$3:$B$12*Z268)-$C$3:$C$12))</f>
        <v>-0.71714922635799194</v>
      </c>
      <c r="AD268" s="3" cm="1">
        <f t="array" ref="AD268">SUM(((Y268+$B$3:$B$12*Z268)-$C$3:$C$12)*$B$3:$B$12)</f>
        <v>0.10308577045155616</v>
      </c>
    </row>
    <row r="269" spans="25:30" x14ac:dyDescent="0.3">
      <c r="Y269" s="1">
        <f t="shared" si="20"/>
        <v>2.2545293979973846</v>
      </c>
      <c r="Z269" s="1">
        <f t="shared" si="21"/>
        <v>2.5565959594282397</v>
      </c>
      <c r="AA269">
        <f t="shared" si="22"/>
        <v>3.0000000000000001E-3</v>
      </c>
      <c r="AB269" s="2" cm="1">
        <f t="array" ref="AB269">1/10*SUM(((Y269+$B$3:$B$12*Z269)-$C$3:$C$12)^2)</f>
        <v>16.857644146176632</v>
      </c>
      <c r="AC269" s="2" cm="1">
        <f t="array" ref="AC269">SUM(((Y269+$B$3:$B$12*Z269)-$C$3:$C$12))</f>
        <v>-0.71171612975769083</v>
      </c>
      <c r="AD269" s="3" cm="1">
        <f t="array" ref="AD269">SUM(((Y269+$B$3:$B$12*Z269)-$C$3:$C$12)*$B$3:$B$12)</f>
        <v>0.10230479638314378</v>
      </c>
    </row>
    <row r="270" spans="25:30" x14ac:dyDescent="0.3">
      <c r="Y270" s="1">
        <f t="shared" si="20"/>
        <v>2.2566645463866575</v>
      </c>
      <c r="Z270" s="1">
        <f t="shared" si="21"/>
        <v>2.5562890450390903</v>
      </c>
      <c r="AA270">
        <f t="shared" si="22"/>
        <v>3.0000000000000001E-3</v>
      </c>
      <c r="AB270" s="2" cm="1">
        <f t="array" ref="AB270">1/10*SUM(((Y270+$B$3:$B$12*Z270)-$C$3:$C$12)^2)</f>
        <v>16.857335117550093</v>
      </c>
      <c r="AC270" s="2" cm="1">
        <f t="array" ref="AC270">SUM(((Y270+$B$3:$B$12*Z270)-$C$3:$C$12))</f>
        <v>-0.70632419410073144</v>
      </c>
      <c r="AD270" s="3" cm="1">
        <f t="array" ref="AD270">SUM(((Y270+$B$3:$B$12*Z270)-$C$3:$C$12)*$B$3:$B$12)</f>
        <v>0.10152973894599526</v>
      </c>
    </row>
    <row r="271" spans="25:30" x14ac:dyDescent="0.3">
      <c r="Y271" s="1">
        <f t="shared" si="20"/>
        <v>2.2587835189689596</v>
      </c>
      <c r="Z271" s="1">
        <f t="shared" si="21"/>
        <v>2.5559844558222524</v>
      </c>
      <c r="AA271">
        <f t="shared" si="22"/>
        <v>3.0000000000000001E-3</v>
      </c>
      <c r="AB271" s="2" cm="1">
        <f t="array" ref="AB271">1/10*SUM(((Y271+$B$3:$B$12*Z271)-$C$3:$C$12)^2)</f>
        <v>16.857030753566196</v>
      </c>
      <c r="AC271" s="2" cm="1">
        <f t="array" ref="AC271">SUM(((Y271+$B$3:$B$12*Z271)-$C$3:$C$12))</f>
        <v>-0.7009731075532768</v>
      </c>
      <c r="AD271" s="3" cm="1">
        <f t="array" ref="AD271">SUM(((Y271+$B$3:$B$12*Z271)-$C$3:$C$12)*$B$3:$B$12)</f>
        <v>0.10076055331602235</v>
      </c>
    </row>
    <row r="272" spans="25:30" x14ac:dyDescent="0.3">
      <c r="Y272" s="1">
        <f t="shared" si="20"/>
        <v>2.2608864382916196</v>
      </c>
      <c r="Z272" s="1">
        <f t="shared" si="21"/>
        <v>2.5556821741623041</v>
      </c>
      <c r="AA272">
        <f t="shared" si="22"/>
        <v>3.0000000000000001E-3</v>
      </c>
      <c r="AB272" s="2" cm="1">
        <f t="array" ref="AB272">1/10*SUM(((Y272+$B$3:$B$12*Z272)-$C$3:$C$12)^2)</f>
        <v>16.856730983814316</v>
      </c>
      <c r="AC272" s="2" cm="1">
        <f t="array" ref="AC272">SUM(((Y272+$B$3:$B$12*Z272)-$C$3:$C$12))</f>
        <v>-0.69566256064398857</v>
      </c>
      <c r="AD272" s="3" cm="1">
        <f t="array" ref="AD272">SUM(((Y272+$B$3:$B$12*Z272)-$C$3:$C$12)*$B$3:$B$12)</f>
        <v>9.999719500837756E-2</v>
      </c>
    </row>
    <row r="273" spans="25:30" x14ac:dyDescent="0.3">
      <c r="Y273" s="1">
        <f t="shared" si="20"/>
        <v>2.2629734259735517</v>
      </c>
      <c r="Z273" s="1">
        <f t="shared" si="21"/>
        <v>2.5553821825772789</v>
      </c>
      <c r="AA273">
        <f t="shared" si="22"/>
        <v>3.0000000000000001E-3</v>
      </c>
      <c r="AB273" s="2" cm="1">
        <f t="array" ref="AB273">1/10*SUM(((Y273+$B$3:$B$12*Z273)-$C$3:$C$12)^2)</f>
        <v>16.856435738946683</v>
      </c>
      <c r="AC273" s="2" cm="1">
        <f t="array" ref="AC273">SUM(((Y273+$B$3:$B$12*Z273)-$C$3:$C$12))</f>
        <v>-0.69039224624598283</v>
      </c>
      <c r="AD273" s="3" cm="1">
        <f t="array" ref="AD273">SUM(((Y273+$B$3:$B$12*Z273)-$C$3:$C$12)*$B$3:$B$12)</f>
        <v>9.9239619875825733E-2</v>
      </c>
    </row>
    <row r="274" spans="25:30" x14ac:dyDescent="0.3">
      <c r="Y274" s="1">
        <f t="shared" si="20"/>
        <v>2.2650446027122895</v>
      </c>
      <c r="Z274" s="1">
        <f t="shared" si="21"/>
        <v>2.5550844637176513</v>
      </c>
      <c r="AA274">
        <f t="shared" si="22"/>
        <v>3.0000000000000001E-3</v>
      </c>
      <c r="AB274" s="2" cm="1">
        <f t="array" ref="AB274">1/10*SUM(((Y274+$B$3:$B$12*Z274)-$C$3:$C$12)^2)</f>
        <v>16.856144950662273</v>
      </c>
      <c r="AC274" s="2" cm="1">
        <f t="array" ref="AC274">SUM(((Y274+$B$3:$B$12*Z274)-$C$3:$C$12))</f>
        <v>-0.68516185955923792</v>
      </c>
      <c r="AD274" s="3" cm="1">
        <f t="array" ref="AD274">SUM(((Y274+$B$3:$B$12*Z274)-$C$3:$C$12)*$B$3:$B$12)</f>
        <v>9.8487784105078191E-2</v>
      </c>
    </row>
    <row r="275" spans="25:30" x14ac:dyDescent="0.3">
      <c r="Y275" s="1">
        <f t="shared" si="20"/>
        <v>2.2671000882909671</v>
      </c>
      <c r="Z275" s="1">
        <f t="shared" si="21"/>
        <v>2.5547890003653362</v>
      </c>
      <c r="AA275">
        <f t="shared" si="22"/>
        <v>3.0000000000000001E-3</v>
      </c>
      <c r="AB275" s="2" cm="1">
        <f t="array" ref="AB275">1/10*SUM(((Y275+$B$3:$B$12*Z275)-$C$3:$C$12)^2)</f>
        <v>16.855858551691064</v>
      </c>
      <c r="AC275" s="2" cm="1">
        <f t="array" ref="AC275">SUM(((Y275+$B$3:$B$12*Z275)-$C$3:$C$12))</f>
        <v>-0.6799710980928575</v>
      </c>
      <c r="AD275" s="3" cm="1">
        <f t="array" ref="AD275">SUM(((Y275+$B$3:$B$12*Z275)-$C$3:$C$12)*$B$3:$B$12)</f>
        <v>9.7741644214882947E-2</v>
      </c>
    </row>
    <row r="276" spans="25:30" x14ac:dyDescent="0.3">
      <c r="Y276" s="1">
        <f t="shared" si="20"/>
        <v>2.2691400015852459</v>
      </c>
      <c r="Z276" s="1">
        <f t="shared" si="21"/>
        <v>2.5544957754326916</v>
      </c>
      <c r="AA276">
        <f t="shared" si="22"/>
        <v>3.0000000000000001E-3</v>
      </c>
      <c r="AB276" s="2" cm="1">
        <f t="array" ref="AB276">1/10*SUM(((Y276+$B$3:$B$12*Z276)-$C$3:$C$12)^2)</f>
        <v>16.855576475778417</v>
      </c>
      <c r="AC276" s="2" cm="1">
        <f t="array" ref="AC276">SUM(((Y276+$B$3:$B$12*Z276)-$C$3:$C$12))</f>
        <v>-0.67481966164757967</v>
      </c>
      <c r="AD276" s="3" cm="1">
        <f t="array" ref="AD276">SUM(((Y276+$B$3:$B$12*Z276)-$C$3:$C$12)*$B$3:$B$12)</f>
        <v>9.700115705367196E-2</v>
      </c>
    </row>
    <row r="277" spans="25:30" x14ac:dyDescent="0.3">
      <c r="Y277" s="1">
        <f t="shared" ref="Y277:Y291" si="23">Y276-AA276*AC276</f>
        <v>2.2711644605701884</v>
      </c>
      <c r="Z277" s="1">
        <f t="shared" ref="Z277:Z291" si="24">Z276-AA276*AD276</f>
        <v>2.5542047719615306</v>
      </c>
      <c r="AA277">
        <f t="shared" ref="AA277:AA291" si="25">AA276</f>
        <v>3.0000000000000001E-3</v>
      </c>
      <c r="AB277" s="2" cm="1">
        <f t="array" ref="AB277">1/10*SUM(((Y277+$B$3:$B$12*Z277)-$C$3:$C$12)^2)</f>
        <v>16.855298657669774</v>
      </c>
      <c r="AC277" s="2" cm="1">
        <f t="array" ref="AC277">SUM(((Y277+$B$3:$B$12*Z277)-$C$3:$C$12))</f>
        <v>-0.66970725229853478</v>
      </c>
      <c r="AD277" s="3" cm="1">
        <f t="array" ref="AD277">SUM(((Y277+$B$3:$B$12*Z277)-$C$3:$C$12)*$B$3:$B$12)</f>
        <v>9.6266279796069665E-2</v>
      </c>
    </row>
    <row r="278" spans="25:30" x14ac:dyDescent="0.3">
      <c r="Y278" s="1">
        <f t="shared" si="23"/>
        <v>2.2731735823270842</v>
      </c>
      <c r="Z278" s="1">
        <f t="shared" si="24"/>
        <v>2.5539159731221424</v>
      </c>
      <c r="AA278">
        <f t="shared" si="25"/>
        <v>3.0000000000000001E-3</v>
      </c>
      <c r="AB278" s="2" cm="1">
        <f t="array" ref="AB278">1/10*SUM(((Y278+$B$3:$B$12*Z278)-$C$3:$C$12)^2)</f>
        <v>16.855025033095576</v>
      </c>
      <c r="AC278" s="2" cm="1">
        <f t="array" ref="AC278">SUM(((Y278+$B$3:$B$12*Z278)-$C$3:$C$12))</f>
        <v>-0.66463357437775894</v>
      </c>
      <c r="AD278" s="3" cm="1">
        <f t="array" ref="AD278">SUM(((Y278+$B$3:$B$12*Z278)-$C$3:$C$12)*$B$3:$B$12)</f>
        <v>9.5536969942369154E-2</v>
      </c>
    </row>
    <row r="279" spans="25:30" x14ac:dyDescent="0.3">
      <c r="Y279" s="1">
        <f t="shared" si="23"/>
        <v>2.2751674830502173</v>
      </c>
      <c r="Z279" s="1">
        <f t="shared" si="24"/>
        <v>2.5536293622123152</v>
      </c>
      <c r="AA279">
        <f t="shared" si="25"/>
        <v>3.0000000000000001E-3</v>
      </c>
      <c r="AB279" s="2" cm="1">
        <f t="array" ref="AB279">1/10*SUM(((Y279+$B$3:$B$12*Z279)-$C$3:$C$12)^2)</f>
        <v>16.85475553875639</v>
      </c>
      <c r="AC279" s="2" cm="1">
        <f t="array" ref="AC279">SUM(((Y279+$B$3:$B$12*Z279)-$C$3:$C$12))</f>
        <v>-0.65959833445743676</v>
      </c>
      <c r="AD279" s="3" cm="1">
        <f t="array" ref="AD279">SUM(((Y279+$B$3:$B$12*Z279)-$C$3:$C$12)*$B$3:$B$12)</f>
        <v>9.4813185313479667E-2</v>
      </c>
    </row>
    <row r="280" spans="25:30" x14ac:dyDescent="0.3">
      <c r="Y280" s="1">
        <f t="shared" si="23"/>
        <v>2.2771462780535896</v>
      </c>
      <c r="Z280" s="1">
        <f t="shared" si="24"/>
        <v>2.5533449226563749</v>
      </c>
      <c r="AA280">
        <f t="shared" si="25"/>
        <v>3.0000000000000001E-3</v>
      </c>
      <c r="AB280" s="2" cm="1">
        <f t="array" ref="AB280">1/10*SUM(((Y280+$B$3:$B$12*Z280)-$C$3:$C$12)^2)</f>
        <v>16.854490112308255</v>
      </c>
      <c r="AC280" s="2" cm="1">
        <f t="array" ref="AC280">SUM(((Y280+$B$3:$B$12*Z280)-$C$3:$C$12))</f>
        <v>-0.65460124133261477</v>
      </c>
      <c r="AD280" s="3" cm="1">
        <f t="array" ref="AD280">SUM(((Y280+$B$3:$B$12*Z280)-$C$3:$C$12)*$B$3:$B$12)</f>
        <v>9.4094884050870325E-2</v>
      </c>
    </row>
    <row r="281" spans="25:30" x14ac:dyDescent="0.3">
      <c r="Y281" s="1">
        <f t="shared" si="23"/>
        <v>2.2791100817775876</v>
      </c>
      <c r="Z281" s="1">
        <f t="shared" si="24"/>
        <v>2.5530626380042225</v>
      </c>
      <c r="AA281">
        <f t="shared" si="25"/>
        <v>3.0000000000000001E-3</v>
      </c>
      <c r="AB281" s="2" cm="1">
        <f t="array" ref="AB281">1/10*SUM(((Y281+$B$3:$B$12*Z281)-$C$3:$C$12)^2)</f>
        <v>16.854228692348254</v>
      </c>
      <c r="AC281" s="2" cm="1">
        <f t="array" ref="AC281">SUM(((Y281+$B$3:$B$12*Z281)-$C$3:$C$12))</f>
        <v>-0.64964200600455069</v>
      </c>
      <c r="AD281" s="3" cm="1">
        <f t="array" ref="AD281">SUM(((Y281+$B$3:$B$12*Z281)-$C$3:$C$12)*$B$3:$B$12)</f>
        <v>9.3382024612744641E-2</v>
      </c>
    </row>
    <row r="282" spans="25:30" x14ac:dyDescent="0.3">
      <c r="Y282" s="1">
        <f t="shared" si="23"/>
        <v>2.281059007795601</v>
      </c>
      <c r="Z282" s="1">
        <f t="shared" si="24"/>
        <v>2.5527824919303841</v>
      </c>
      <c r="AA282">
        <f t="shared" si="25"/>
        <v>3.0000000000000001E-3</v>
      </c>
      <c r="AB282" s="2" cm="1">
        <f t="array" ref="AB282">1/10*SUM(((Y282+$B$3:$B$12*Z282)-$C$3:$C$12)^2)</f>
        <v>16.853971218400314</v>
      </c>
      <c r="AC282" s="2" cm="1">
        <f t="array" ref="AC282">SUM(((Y282+$B$3:$B$12*Z282)-$C$3:$C$12))</f>
        <v>-0.64472034166401571</v>
      </c>
      <c r="AD282" s="3" cm="1">
        <f t="array" ref="AD282">SUM(((Y282+$B$3:$B$12*Z282)-$C$3:$C$12)*$B$3:$B$12)</f>
        <v>9.2674565771570627E-2</v>
      </c>
    </row>
    <row r="283" spans="25:30" x14ac:dyDescent="0.3">
      <c r="Y283" s="1">
        <f t="shared" si="23"/>
        <v>2.2829931688205929</v>
      </c>
      <c r="Z283" s="1">
        <f t="shared" si="24"/>
        <v>2.5525044682330695</v>
      </c>
      <c r="AA283">
        <f t="shared" si="25"/>
        <v>3.0000000000000001E-3</v>
      </c>
      <c r="AB283" s="2" cm="1">
        <f t="array" ref="AB283">1/10*SUM(((Y283+$B$3:$B$12*Z283)-$C$3:$C$12)^2)</f>
        <v>16.853717630901226</v>
      </c>
      <c r="AC283" s="2" cm="1">
        <f t="array" ref="AC283">SUM(((Y283+$B$3:$B$12*Z283)-$C$3:$C$12))</f>
        <v>-0.63983596367445816</v>
      </c>
      <c r="AD283" s="3" cm="1">
        <f t="array" ref="AD283">SUM(((Y283+$B$3:$B$12*Z283)-$C$3:$C$12)*$B$3:$B$12)</f>
        <v>9.1972466613375312E-2</v>
      </c>
    </row>
    <row r="284" spans="25:30" x14ac:dyDescent="0.3">
      <c r="Y284" s="1">
        <f t="shared" si="23"/>
        <v>2.2849126767116164</v>
      </c>
      <c r="Z284" s="1">
        <f t="shared" si="24"/>
        <v>2.5522285508332292</v>
      </c>
      <c r="AA284">
        <f t="shared" si="25"/>
        <v>3.0000000000000001E-3</v>
      </c>
      <c r="AB284" s="2" cm="1">
        <f t="array" ref="AB284">1/10*SUM(((Y284+$B$3:$B$12*Z284)-$C$3:$C$12)^2)</f>
        <v>16.853467871186879</v>
      </c>
      <c r="AC284" s="2" cm="1">
        <f t="array" ref="AC284">SUM(((Y284+$B$3:$B$12*Z284)-$C$3:$C$12))</f>
        <v>-0.63498858955591952</v>
      </c>
      <c r="AD284" s="3" cm="1">
        <f t="array" ref="AD284">SUM(((Y284+$B$3:$B$12*Z284)-$C$3:$C$12)*$B$3:$B$12)</f>
        <v>9.1275686532770101E-2</v>
      </c>
    </row>
    <row r="285" spans="25:30" x14ac:dyDescent="0.3">
      <c r="Y285" s="1">
        <f t="shared" si="23"/>
        <v>2.2868176424802842</v>
      </c>
      <c r="Z285" s="1">
        <f t="shared" si="24"/>
        <v>2.5519547237736311</v>
      </c>
      <c r="AA285">
        <f t="shared" si="25"/>
        <v>3.0000000000000001E-3</v>
      </c>
      <c r="AB285" s="2" cm="1">
        <f t="array" ref="AB285">1/10*SUM(((Y285+$B$3:$B$12*Z285)-$C$3:$C$12)^2)</f>
        <v>16.853221881478632</v>
      </c>
      <c r="AC285" s="2" cm="1">
        <f t="array" ref="AC285">SUM(((Y285+$B$3:$B$12*Z285)-$C$3:$C$12))</f>
        <v>-0.63017793896834817</v>
      </c>
      <c r="AD285" s="3" cm="1">
        <f t="array" ref="AD285">SUM(((Y285+$B$3:$B$12*Z285)-$C$3:$C$12)*$B$3:$B$12)</f>
        <v>9.0584185233063164E-2</v>
      </c>
    </row>
    <row r="286" spans="25:30" x14ac:dyDescent="0.3">
      <c r="Y286" s="1">
        <f t="shared" si="23"/>
        <v>2.288708176297189</v>
      </c>
      <c r="Z286" s="1">
        <f t="shared" si="24"/>
        <v>2.5516829712179319</v>
      </c>
      <c r="AA286">
        <f t="shared" si="25"/>
        <v>3.0000000000000001E-3</v>
      </c>
      <c r="AB286" s="2" cm="1">
        <f t="array" ref="AB286">1/10*SUM(((Y286+$B$3:$B$12*Z286)-$C$3:$C$12)^2)</f>
        <v>16.852979604870011</v>
      </c>
      <c r="AC286" s="2" cm="1">
        <f t="array" ref="AC286">SUM(((Y286+$B$3:$B$12*Z286)-$C$3:$C$12))</f>
        <v>-0.62540373369566193</v>
      </c>
      <c r="AD286" s="3" cm="1">
        <f t="array" ref="AD286">SUM(((Y286+$B$3:$B$12*Z286)-$C$3:$C$12)*$B$3:$B$12)</f>
        <v>8.9897922721987558E-2</v>
      </c>
    </row>
    <row r="287" spans="25:30" x14ac:dyDescent="0.3">
      <c r="Y287" s="1">
        <f t="shared" si="23"/>
        <v>2.2905843874982761</v>
      </c>
      <c r="Z287" s="1">
        <f t="shared" si="24"/>
        <v>2.551413277449766</v>
      </c>
      <c r="AA287">
        <f t="shared" si="25"/>
        <v>3.0000000000000001E-3</v>
      </c>
      <c r="AB287" s="2" cm="1">
        <f t="array" ref="AB287">1/10*SUM(((Y287+$B$3:$B$12*Z287)-$C$3:$C$12)^2)</f>
        <v>16.852740985313527</v>
      </c>
      <c r="AC287" s="2" cm="1">
        <f t="array" ref="AC287">SUM(((Y287+$B$3:$B$12*Z287)-$C$3:$C$12))</f>
        <v>-0.62066569762941182</v>
      </c>
      <c r="AD287" s="3" cm="1">
        <f t="array" ref="AD287">SUM(((Y287+$B$3:$B$12*Z287)-$C$3:$C$12)*$B$3:$B$12)</f>
        <v>8.9216859311091676E-2</v>
      </c>
    </row>
    <row r="288" spans="25:30" x14ac:dyDescent="0.3">
      <c r="Y288" s="1">
        <f t="shared" si="23"/>
        <v>2.2924463845911642</v>
      </c>
      <c r="Z288" s="1">
        <f t="shared" si="24"/>
        <v>2.5511456268718327</v>
      </c>
      <c r="AA288">
        <f t="shared" si="25"/>
        <v>3.0000000000000001E-3</v>
      </c>
      <c r="AB288" s="2" cm="1">
        <f t="array" ref="AB288">1/10*SUM(((Y288+$B$3:$B$12*Z288)-$C$3:$C$12)^2)</f>
        <v>16.852505967607666</v>
      </c>
      <c r="AC288" s="2" cm="1">
        <f t="array" ref="AC288">SUM(((Y288+$B$3:$B$12*Z288)-$C$3:$C$12))</f>
        <v>-0.61596355675305769</v>
      </c>
      <c r="AD288" s="3" cm="1">
        <f t="array" ref="AD288">SUM(((Y288+$B$3:$B$12*Z288)-$C$3:$C$12)*$B$3:$B$12)</f>
        <v>8.854095561174305E-2</v>
      </c>
    </row>
    <row r="289" spans="25:30" x14ac:dyDescent="0.3">
      <c r="Y289" s="1">
        <f t="shared" si="23"/>
        <v>2.2942942752614233</v>
      </c>
      <c r="Z289" s="1">
        <f t="shared" si="24"/>
        <v>2.5508800040049975</v>
      </c>
      <c r="AA289">
        <f t="shared" si="25"/>
        <v>3.0000000000000001E-3</v>
      </c>
      <c r="AB289" s="2" cm="1">
        <f t="array" ref="AB289">1/10*SUM(((Y289+$B$3:$B$12*Z289)-$C$3:$C$12)^2)</f>
        <v>16.852274497384201</v>
      </c>
      <c r="AC289" s="2" cm="1">
        <f t="array" ref="AC289">SUM(((Y289+$B$3:$B$12*Z289)-$C$3:$C$12))</f>
        <v>-0.61129703912590738</v>
      </c>
      <c r="AD289" s="3" cm="1">
        <f t="array" ref="AD289">SUM(((Y289+$B$3:$B$12*Z289)-$C$3:$C$12)*$B$3:$B$12)</f>
        <v>8.7870172534439211E-2</v>
      </c>
    </row>
    <row r="290" spans="25:30" x14ac:dyDescent="0.3">
      <c r="Y290" s="1">
        <f t="shared" si="23"/>
        <v>2.2961281663788009</v>
      </c>
      <c r="Z290" s="1">
        <f t="shared" si="24"/>
        <v>2.550616393487394</v>
      </c>
      <c r="AA290">
        <f t="shared" si="25"/>
        <v>3.0000000000000001E-3</v>
      </c>
      <c r="AB290" s="2" cm="1">
        <f t="array" ref="AB290">1/10*SUM(((Y290+$B$3:$B$12*Z290)-$C$3:$C$12)^2)</f>
        <v>16.852046521095527</v>
      </c>
      <c r="AC290" s="2" cm="1">
        <f t="array" ref="AC290">SUM(((Y290+$B$3:$B$12*Z290)-$C$3:$C$12))</f>
        <v>-0.60666587486751311</v>
      </c>
      <c r="AD290" s="3" cm="1">
        <f t="array" ref="AD290">SUM(((Y290+$B$3:$B$12*Z290)-$C$3:$C$12)*$B$3:$B$12)</f>
        <v>8.7204471285458149E-2</v>
      </c>
    </row>
    <row r="291" spans="25:30" x14ac:dyDescent="0.3">
      <c r="Y291" s="1">
        <f t="shared" si="23"/>
        <v>2.2979481640034036</v>
      </c>
      <c r="Z291" s="1">
        <f t="shared" si="24"/>
        <v>2.5503547800735378</v>
      </c>
      <c r="AA291">
        <f t="shared" si="25"/>
        <v>3.0000000000000001E-3</v>
      </c>
      <c r="AB291" s="2" cm="1">
        <f t="array" ref="AB291">1/10*SUM(((Y291+$B$3:$B$12*Z291)-$C$3:$C$12)^2)</f>
        <v>16.851821986002339</v>
      </c>
      <c r="AC291" s="2" cm="1">
        <f t="array" ref="AC291">SUM(((Y291+$B$3:$B$12*Z291)-$C$3:$C$12))</f>
        <v>-0.60206979614199962</v>
      </c>
      <c r="AD291" s="3" cm="1">
        <f t="array" ref="AD291">SUM(((Y291+$B$3:$B$12*Z291)-$C$3:$C$12)*$B$3:$B$12)</f>
        <v>8.6543813365337743E-2</v>
      </c>
    </row>
    <row r="292" spans="25:30" x14ac:dyDescent="0.3">
      <c r="Y292" s="1">
        <f>Y291-AA291*AC291</f>
        <v>2.2997543733918295</v>
      </c>
      <c r="Z292" s="1">
        <f>Z291-AA291*AD291</f>
        <v>2.5500951486334418</v>
      </c>
      <c r="AA292">
        <f>AA291</f>
        <v>3.0000000000000001E-3</v>
      </c>
      <c r="AB292" s="2" cm="1">
        <f t="array" ref="AB292">1/10*SUM(((Y292+$B$3:$B$12*Z292)-$C$3:$C$12)^2)</f>
        <v>16.851600840161382</v>
      </c>
      <c r="AC292" s="2" cm="1">
        <f t="array" ref="AC292">SUM(((Y292+$B$3:$B$12*Z292)-$C$3:$C$12))</f>
        <v>-0.59750853714273511</v>
      </c>
      <c r="AD292" s="3" cm="1">
        <f t="array" ref="AD292">SUM(((Y292+$B$3:$B$12*Z292)-$C$3:$C$12)*$B$3:$B$12)</f>
        <v>8.5888160565298938E-2</v>
      </c>
    </row>
    <row r="293" spans="25:30" x14ac:dyDescent="0.3">
      <c r="Y293" s="1">
        <f t="shared" ref="Y293:Y306" si="26">Y292-AA292*AC292</f>
        <v>2.3015468990032577</v>
      </c>
      <c r="Z293" s="1">
        <f t="shared" ref="Z293:Z306" si="27">Z292-AA292*AD292</f>
        <v>2.5498374841517459</v>
      </c>
      <c r="AA293">
        <f t="shared" ref="AA293:AA306" si="28">AA292</f>
        <v>3.0000000000000001E-3</v>
      </c>
      <c r="AB293" s="2" cm="1">
        <f t="array" ref="AB293">1/10*SUM(((Y293+$B$3:$B$12*Z293)-$C$3:$C$12)^2)</f>
        <v>16.851383032413523</v>
      </c>
      <c r="AC293" s="2" cm="1">
        <f t="array" ref="AC293">SUM(((Y293+$B$3:$B$12*Z293)-$C$3:$C$12))</f>
        <v>-0.59298183407663618</v>
      </c>
      <c r="AD293" s="3" cm="1">
        <f t="array" ref="AD293">SUM(((Y293+$B$3:$B$12*Z293)-$C$3:$C$12)*$B$3:$B$12)</f>
        <v>8.5237474967387789E-2</v>
      </c>
    </row>
    <row r="294" spans="25:30" x14ac:dyDescent="0.3">
      <c r="Y294" s="1">
        <f t="shared" si="26"/>
        <v>2.3033258445054878</v>
      </c>
      <c r="Z294" s="1">
        <f t="shared" si="27"/>
        <v>2.5495817717268436</v>
      </c>
      <c r="AA294">
        <f t="shared" si="28"/>
        <v>3.0000000000000001E-3</v>
      </c>
      <c r="AB294" s="2" cm="1">
        <f t="array" ref="AB294">1/10*SUM(((Y294+$B$3:$B$12*Z294)-$C$3:$C$12)^2)</f>
        <v>16.851168512371753</v>
      </c>
      <c r="AC294" s="2" cm="1">
        <f t="array" ref="AC294">SUM(((Y294+$B$3:$B$12*Z294)-$C$3:$C$12))</f>
        <v>-0.58848942514926073</v>
      </c>
      <c r="AD294" s="3" cm="1">
        <f t="array" ref="AD294">SUM(((Y294+$B$3:$B$12*Z294)-$C$3:$C$12)*$B$3:$B$12)</f>
        <v>8.4591718939898197E-2</v>
      </c>
    </row>
    <row r="295" spans="25:30" x14ac:dyDescent="0.3">
      <c r="Y295" s="1">
        <f t="shared" si="26"/>
        <v>2.3050913127809358</v>
      </c>
      <c r="Z295" s="1">
        <f t="shared" si="27"/>
        <v>2.5493279965700237</v>
      </c>
      <c r="AA295">
        <f t="shared" si="28"/>
        <v>3.0000000000000001E-3</v>
      </c>
      <c r="AB295" s="2" cm="1">
        <f t="array" ref="AB295">1/10*SUM(((Y295+$B$3:$B$12*Z295)-$C$3:$C$12)^2)</f>
        <v>16.850957230409723</v>
      </c>
      <c r="AC295" s="2" cm="1">
        <f t="array" ref="AC295">SUM(((Y295+$B$3:$B$12*Z295)-$C$3:$C$12))</f>
        <v>-0.58403105054941573</v>
      </c>
      <c r="AD295" s="3" cm="1">
        <f t="array" ref="AD295">SUM(((Y295+$B$3:$B$12*Z295)-$C$3:$C$12)*$B$3:$B$12)</f>
        <v>8.3950855136843222E-2</v>
      </c>
    </row>
    <row r="296" spans="25:30" x14ac:dyDescent="0.3">
      <c r="Y296" s="1">
        <f t="shared" si="26"/>
        <v>2.3068434059325842</v>
      </c>
      <c r="Z296" s="1">
        <f t="shared" si="27"/>
        <v>2.549076144004613</v>
      </c>
      <c r="AA296">
        <f t="shared" si="28"/>
        <v>3.0000000000000001E-3</v>
      </c>
      <c r="AB296" s="2" cm="1">
        <f t="array" ref="AB296">1/10*SUM(((Y296+$B$3:$B$12*Z296)-$C$3:$C$12)^2)</f>
        <v>16.850749137650119</v>
      </c>
      <c r="AC296" s="2" cm="1">
        <f t="array" ref="AC296">SUM(((Y296+$B$3:$B$12*Z296)-$C$3:$C$12))</f>
        <v>-0.5796064524342901</v>
      </c>
      <c r="AD296" s="3" cm="1">
        <f t="array" ref="AD296">SUM(((Y296+$B$3:$B$12*Z296)-$C$3:$C$12)*$B$3:$B$12)</f>
        <v>8.3314846494713643E-2</v>
      </c>
    </row>
    <row r="297" spans="25:30" x14ac:dyDescent="0.3">
      <c r="Y297" s="1">
        <f t="shared" si="26"/>
        <v>2.3085822252898871</v>
      </c>
      <c r="Z297" s="1">
        <f t="shared" si="27"/>
        <v>2.5488261994651289</v>
      </c>
      <c r="AA297">
        <f t="shared" si="28"/>
        <v>3.0000000000000001E-3</v>
      </c>
      <c r="AB297" s="2" cm="1">
        <f t="array" ref="AB297">1/10*SUM(((Y297+$B$3:$B$12*Z297)-$C$3:$C$12)^2)</f>
        <v>16.850544185953428</v>
      </c>
      <c r="AC297" s="2" cm="1">
        <f t="array" ref="AC297">SUM(((Y297+$B$3:$B$12*Z297)-$C$3:$C$12))</f>
        <v>-0.57521537491443464</v>
      </c>
      <c r="AD297" s="3" cm="1">
        <f t="array" ref="AD297">SUM(((Y297+$B$3:$B$12*Z297)-$C$3:$C$12)*$B$3:$B$12)</f>
        <v>8.2683656231213126E-2</v>
      </c>
    </row>
    <row r="298" spans="25:30" x14ac:dyDescent="0.3">
      <c r="Y298" s="1">
        <f t="shared" si="26"/>
        <v>2.3103078714146306</v>
      </c>
      <c r="Z298" s="1">
        <f t="shared" si="27"/>
        <v>2.5485781484964352</v>
      </c>
      <c r="AA298">
        <f t="shared" si="28"/>
        <v>3.0000000000000001E-3</v>
      </c>
      <c r="AB298" s="2" cm="1">
        <f t="array" ref="AB298">1/10*SUM(((Y298+$B$3:$B$12*Z298)-$C$3:$C$12)^2)</f>
        <v>16.850342327906763</v>
      </c>
      <c r="AC298" s="2" cm="1">
        <f t="array" ref="AC298">SUM(((Y298+$B$3:$B$12*Z298)-$C$3:$C$12))</f>
        <v>-0.57085756403907073</v>
      </c>
      <c r="AD298" s="3" cm="1">
        <f t="array" ref="AD298">SUM(((Y298+$B$3:$B$12*Z298)-$C$3:$C$12)*$B$3:$B$12)</f>
        <v>8.2057247842157469E-2</v>
      </c>
    </row>
    <row r="299" spans="25:30" x14ac:dyDescent="0.3">
      <c r="Y299" s="1">
        <f t="shared" si="26"/>
        <v>2.3120204441067478</v>
      </c>
      <c r="Z299" s="1">
        <f t="shared" si="27"/>
        <v>2.5483319767529089</v>
      </c>
      <c r="AA299">
        <f t="shared" si="28"/>
        <v>3.0000000000000001E-3</v>
      </c>
      <c r="AB299" s="2" cm="1">
        <f t="array" ref="AB299">1/10*SUM(((Y299+$B$3:$B$12*Z299)-$C$3:$C$12)^2)</f>
        <v>16.850143516812931</v>
      </c>
      <c r="AC299" s="2" cm="1">
        <f t="array" ref="AC299">SUM(((Y299+$B$3:$B$12*Z299)-$C$3:$C$12))</f>
        <v>-0.56653276778126749</v>
      </c>
      <c r="AD299" s="3" cm="1">
        <f t="array" ref="AD299">SUM(((Y299+$B$3:$B$12*Z299)-$C$3:$C$12)*$B$3:$B$12)</f>
        <v>8.1435585100467028E-2</v>
      </c>
    </row>
    <row r="300" spans="25:30" x14ac:dyDescent="0.3">
      <c r="Y300" s="1">
        <f t="shared" si="26"/>
        <v>2.3137200424100914</v>
      </c>
      <c r="Z300" s="1">
        <f t="shared" si="27"/>
        <v>2.5480876699976074</v>
      </c>
      <c r="AA300">
        <f t="shared" si="28"/>
        <v>3.0000000000000001E-3</v>
      </c>
      <c r="AB300" s="2" cm="1">
        <f t="array" ref="AB300">1/10*SUM(((Y300+$B$3:$B$12*Z300)-$C$3:$C$12)^2)</f>
        <v>16.849947706679618</v>
      </c>
      <c r="AC300" s="2" cm="1">
        <f t="array" ref="AC300">SUM(((Y300+$B$3:$B$12*Z300)-$C$3:$C$12))</f>
        <v>-0.56224073602350888</v>
      </c>
      <c r="AD300" s="3" cm="1">
        <f t="array" ref="AD300">SUM(((Y300+$B$3:$B$12*Z300)-$C$3:$C$12)*$B$3:$B$12)</f>
        <v>8.0818632053101427E-2</v>
      </c>
    </row>
    <row r="301" spans="25:30" x14ac:dyDescent="0.3">
      <c r="Y301" s="1">
        <f t="shared" si="26"/>
        <v>2.315406764618162</v>
      </c>
      <c r="Z301" s="1">
        <f t="shared" si="27"/>
        <v>2.5478452141014483</v>
      </c>
      <c r="AA301">
        <f t="shared" si="28"/>
        <v>3.0000000000000001E-3</v>
      </c>
      <c r="AB301" s="2" cm="1">
        <f t="array" ref="AB301">1/10*SUM(((Y301+$B$3:$B$12*Z301)-$C$3:$C$12)^2)</f>
        <v>16.84975485220869</v>
      </c>
      <c r="AC301" s="2" cm="1">
        <f t="array" ref="AC301">SUM(((Y301+$B$3:$B$12*Z301)-$C$3:$C$12))</f>
        <v>-0.55798122054307786</v>
      </c>
      <c r="AD301" s="3" cm="1">
        <f t="array" ref="AD301">SUM(((Y301+$B$3:$B$12*Z301)-$C$3:$C$12)*$B$3:$B$12)</f>
        <v>8.0206353019950438E-2</v>
      </c>
    </row>
    <row r="302" spans="25:30" x14ac:dyDescent="0.3">
      <c r="Y302" s="1">
        <f t="shared" si="26"/>
        <v>2.3170807082797911</v>
      </c>
      <c r="Z302" s="1">
        <f t="shared" si="27"/>
        <v>2.5476045950423885</v>
      </c>
      <c r="AA302">
        <f t="shared" si="28"/>
        <v>3.0000000000000001E-3</v>
      </c>
      <c r="AB302" s="2" cm="1">
        <f t="array" ref="AB302">1/10*SUM(((Y302+$B$3:$B$12*Z302)-$C$3:$C$12)^2)</f>
        <v>16.849564908785847</v>
      </c>
      <c r="AC302" s="2" cm="1">
        <f t="array" ref="AC302">SUM(((Y302+$B$3:$B$12*Z302)-$C$3:$C$12))</f>
        <v>-0.5537539749978917</v>
      </c>
      <c r="AD302" s="3" cm="1">
        <f t="array" ref="AD302">SUM(((Y302+$B$3:$B$12*Z302)-$C$3:$C$12)*$B$3:$B$12)</f>
        <v>7.9598712590389198E-2</v>
      </c>
    </row>
    <row r="303" spans="25:30" x14ac:dyDescent="0.3">
      <c r="Y303" s="1">
        <f t="shared" si="26"/>
        <v>2.3187419702047847</v>
      </c>
      <c r="Z303" s="1">
        <f t="shared" si="27"/>
        <v>2.5473657989046172</v>
      </c>
      <c r="AA303">
        <f t="shared" si="28"/>
        <v>3.0000000000000001E-3</v>
      </c>
      <c r="AB303" s="2" cm="1">
        <f t="array" ref="AB303">1/10*SUM(((Y303+$B$3:$B$12*Z303)-$C$3:$C$12)^2)</f>
        <v>16.849377832470147</v>
      </c>
      <c r="AC303" s="2" cm="1">
        <f t="array" ref="AC303">SUM(((Y303+$B$3:$B$12*Z303)-$C$3:$C$12))</f>
        <v>-0.54955875491206552</v>
      </c>
      <c r="AD303" s="3" cm="1">
        <f t="array" ref="AD303">SUM(((Y303+$B$3:$B$12*Z303)-$C$3:$C$12)*$B$3:$B$12)</f>
        <v>7.8995675622710593E-2</v>
      </c>
    </row>
    <row r="304" spans="25:30" x14ac:dyDescent="0.3">
      <c r="Y304" s="1">
        <f t="shared" si="26"/>
        <v>2.3203906464695208</v>
      </c>
      <c r="Z304" s="1">
        <f t="shared" si="27"/>
        <v>2.5471288118777493</v>
      </c>
      <c r="AA304">
        <f t="shared" si="28"/>
        <v>3.0000000000000001E-3</v>
      </c>
      <c r="AB304" s="2" cm="1">
        <f t="array" ref="AB304">1/10*SUM(((Y304+$B$3:$B$12*Z304)-$C$3:$C$12)^2)</f>
        <v>16.849193579983972</v>
      </c>
      <c r="AC304" s="2" cm="1">
        <f t="array" ref="AC304">SUM(((Y304+$B$3:$B$12*Z304)-$C$3:$C$12))</f>
        <v>-0.54539531766183735</v>
      </c>
      <c r="AD304" s="3" cm="1">
        <f t="array" ref="AD304">SUM(((Y304+$B$3:$B$12*Z304)-$C$3:$C$12)*$B$3:$B$12)</f>
        <v>7.8397207241526712E-2</v>
      </c>
    </row>
    <row r="305" spans="25:30" x14ac:dyDescent="0.3">
      <c r="Y305" s="1">
        <f t="shared" si="26"/>
        <v>2.3220268324225062</v>
      </c>
      <c r="Z305" s="1">
        <f t="shared" si="27"/>
        <v>2.5468936202560246</v>
      </c>
      <c r="AA305">
        <f t="shared" si="28"/>
        <v>3.0000000000000001E-3</v>
      </c>
      <c r="AB305" s="2" cm="1">
        <f t="array" ref="AB305">1/10*SUM(((Y305+$B$3:$B$12*Z305)-$C$3:$C$12)^2)</f>
        <v>16.849012108702922</v>
      </c>
      <c r="AC305" s="2" cm="1">
        <f t="array" ref="AC305">SUM(((Y305+$B$3:$B$12*Z305)-$C$3:$C$12))</f>
        <v>-0.54126342246166548</v>
      </c>
      <c r="AD305" s="3" cm="1">
        <f t="array" ref="AD305">SUM(((Y305+$B$3:$B$12*Z305)-$C$3:$C$12)*$B$3:$B$12)</f>
        <v>7.7803272834918141E-2</v>
      </c>
    </row>
    <row r="306" spans="25:30" x14ac:dyDescent="0.3">
      <c r="Y306" s="1">
        <f t="shared" si="26"/>
        <v>2.323650622689891</v>
      </c>
      <c r="Z306" s="1">
        <f t="shared" si="27"/>
        <v>2.54666021043752</v>
      </c>
      <c r="AA306">
        <f t="shared" si="28"/>
        <v>3.0000000000000001E-3</v>
      </c>
      <c r="AB306" s="2" cm="1">
        <f t="array" ref="AB306">1/10*SUM(((Y306+$B$3:$B$12*Z306)-$C$3:$C$12)^2)</f>
        <v>16.848833376646009</v>
      </c>
      <c r="AC306" s="2" cm="1">
        <f t="array" ref="AC306">SUM(((Y306+$B$3:$B$12*Z306)-$C$3:$C$12))</f>
        <v>-0.53716283035005752</v>
      </c>
      <c r="AD306" s="3" cm="1">
        <f t="array" ref="AD306">SUM(((Y306+$B$3:$B$12*Z306)-$C$3:$C$12)*$B$3:$B$12)</f>
        <v>7.7213838054041889E-2</v>
      </c>
    </row>
    <row r="307" spans="25:30" x14ac:dyDescent="0.3">
      <c r="Y307" s="1"/>
      <c r="Z307" s="1"/>
      <c r="AB307" s="2"/>
      <c r="AC307" s="2"/>
      <c r="AD307" s="3"/>
    </row>
    <row r="308" spans="25:30" x14ac:dyDescent="0.3">
      <c r="Y308" s="1"/>
      <c r="Z308" s="1"/>
      <c r="AB308" s="2"/>
      <c r="AC308" s="2"/>
      <c r="AD308" s="3"/>
    </row>
    <row r="309" spans="25:30" x14ac:dyDescent="0.3">
      <c r="Y309" s="1"/>
      <c r="Z309" s="1"/>
      <c r="AB309" s="2"/>
      <c r="AC309" s="2"/>
      <c r="AD309" s="3"/>
    </row>
    <row r="310" spans="25:30" x14ac:dyDescent="0.3">
      <c r="Y310" s="1"/>
      <c r="Z310" s="1"/>
      <c r="AB310" s="2"/>
      <c r="AC310" s="2"/>
      <c r="AD310" s="3"/>
    </row>
    <row r="311" spans="25:30" x14ac:dyDescent="0.3">
      <c r="Y311" s="1"/>
      <c r="Z311" s="1"/>
      <c r="AB311" s="2"/>
      <c r="AC311" s="2"/>
      <c r="AD311" s="3"/>
    </row>
    <row r="312" spans="25:30" x14ac:dyDescent="0.3">
      <c r="Y312" s="1"/>
      <c r="Z312" s="1"/>
      <c r="AB312" s="2"/>
      <c r="AC312" s="2"/>
      <c r="AD312" s="3"/>
    </row>
    <row r="313" spans="25:30" x14ac:dyDescent="0.3">
      <c r="Y313" s="1"/>
      <c r="Z313" s="1"/>
      <c r="AB313" s="2"/>
      <c r="AC313" s="2"/>
      <c r="AD313" s="3"/>
    </row>
    <row r="314" spans="25:30" x14ac:dyDescent="0.3">
      <c r="Y314" s="1"/>
      <c r="Z314" s="1"/>
      <c r="AB314" s="2"/>
      <c r="AC314" s="2"/>
      <c r="AD314" s="3"/>
    </row>
    <row r="315" spans="25:30" x14ac:dyDescent="0.3">
      <c r="Y315" s="1"/>
      <c r="Z315" s="1"/>
      <c r="AB315" s="2"/>
      <c r="AC315" s="2"/>
      <c r="AD315" s="3"/>
    </row>
    <row r="316" spans="25:30" x14ac:dyDescent="0.3">
      <c r="Y316" s="1"/>
      <c r="Z316" s="1"/>
      <c r="AB316" s="2"/>
      <c r="AC316" s="2"/>
      <c r="AD316" s="3"/>
    </row>
    <row r="317" spans="25:30" x14ac:dyDescent="0.3">
      <c r="Y317" s="1"/>
      <c r="Z317" s="1"/>
      <c r="AB317" s="2"/>
      <c r="AC317" s="2"/>
      <c r="AD317" s="3"/>
    </row>
    <row r="318" spans="25:30" x14ac:dyDescent="0.3">
      <c r="Y318" s="1"/>
      <c r="Z318" s="1"/>
      <c r="AB318" s="2"/>
      <c r="AC318" s="2"/>
      <c r="AD318" s="3"/>
    </row>
    <row r="319" spans="25:30" x14ac:dyDescent="0.3">
      <c r="Y319" s="1"/>
      <c r="Z319" s="1"/>
      <c r="AB319" s="2"/>
      <c r="AC319" s="2"/>
      <c r="AD319" s="3"/>
    </row>
    <row r="320" spans="25:30" x14ac:dyDescent="0.3">
      <c r="Y320" s="1"/>
      <c r="Z320" s="1"/>
      <c r="AB320" s="2"/>
      <c r="AC320" s="2"/>
      <c r="AD320" s="3"/>
    </row>
    <row r="321" spans="25:30" x14ac:dyDescent="0.3">
      <c r="Y321" s="1"/>
      <c r="Z321" s="1"/>
      <c r="AB321" s="2"/>
      <c r="AC321" s="2"/>
      <c r="AD321" s="3"/>
    </row>
    <row r="322" spans="25:30" x14ac:dyDescent="0.3">
      <c r="Y322" s="1"/>
      <c r="Z322" s="1"/>
      <c r="AB322" s="2"/>
      <c r="AC322" s="2"/>
      <c r="AD322" s="3"/>
    </row>
    <row r="323" spans="25:30" x14ac:dyDescent="0.3">
      <c r="Y323" s="1"/>
      <c r="Z323" s="1"/>
      <c r="AB323" s="2"/>
      <c r="AC323" s="2"/>
      <c r="AD323" s="3"/>
    </row>
    <row r="324" spans="25:30" x14ac:dyDescent="0.3">
      <c r="Y324" s="1"/>
      <c r="Z324" s="1"/>
      <c r="AB324" s="2"/>
      <c r="AC324" s="2"/>
      <c r="AD324" s="3"/>
    </row>
    <row r="325" spans="25:30" x14ac:dyDescent="0.3">
      <c r="Y325" s="1"/>
      <c r="Z325" s="1"/>
      <c r="AB325" s="2"/>
      <c r="AC325" s="2"/>
      <c r="AD325" s="3"/>
    </row>
    <row r="326" spans="25:30" x14ac:dyDescent="0.3">
      <c r="Y326" s="1"/>
      <c r="Z326" s="1"/>
      <c r="AB326" s="2"/>
      <c r="AC326" s="2"/>
      <c r="AD326" s="3"/>
    </row>
    <row r="327" spans="25:30" x14ac:dyDescent="0.3">
      <c r="Y327" s="1"/>
      <c r="Z327" s="1"/>
      <c r="AB327" s="2"/>
      <c r="AC327" s="2"/>
      <c r="AD327" s="3"/>
    </row>
    <row r="328" spans="25:30" x14ac:dyDescent="0.3">
      <c r="Y328" s="1"/>
      <c r="Z328" s="1"/>
      <c r="AB328" s="2"/>
      <c r="AC328" s="2"/>
      <c r="AD328" s="3"/>
    </row>
    <row r="329" spans="25:30" x14ac:dyDescent="0.3">
      <c r="Y329" s="1"/>
      <c r="Z329" s="1"/>
      <c r="AB329" s="2"/>
      <c r="AC329" s="2"/>
      <c r="AD329" s="3"/>
    </row>
    <row r="330" spans="25:30" x14ac:dyDescent="0.3">
      <c r="Y330" s="1"/>
      <c r="Z330" s="1"/>
      <c r="AB330" s="2"/>
      <c r="AC330" s="2"/>
      <c r="AD330" s="3"/>
    </row>
    <row r="331" spans="25:30" x14ac:dyDescent="0.3">
      <c r="Y331" s="1"/>
      <c r="Z331" s="1"/>
      <c r="AB331" s="2"/>
      <c r="AC331" s="2"/>
      <c r="AD331" s="3"/>
    </row>
    <row r="332" spans="25:30" x14ac:dyDescent="0.3">
      <c r="Y332" s="1"/>
      <c r="Z332" s="1"/>
      <c r="AB332" s="2"/>
      <c r="AC332" s="2"/>
      <c r="AD332" s="3"/>
    </row>
    <row r="333" spans="25:30" x14ac:dyDescent="0.3">
      <c r="Y333" s="1"/>
      <c r="Z333" s="1"/>
      <c r="AB333" s="2"/>
      <c r="AC333" s="2"/>
      <c r="AD333" s="3"/>
    </row>
    <row r="334" spans="25:30" x14ac:dyDescent="0.3">
      <c r="Y334" s="1"/>
      <c r="Z334" s="1"/>
      <c r="AB334" s="2"/>
      <c r="AC334" s="2"/>
      <c r="AD334" s="3"/>
    </row>
    <row r="335" spans="25:30" x14ac:dyDescent="0.3">
      <c r="Y335" s="1"/>
      <c r="Z335" s="1"/>
      <c r="AB335" s="2"/>
      <c r="AC335" s="2"/>
      <c r="AD335" s="3"/>
    </row>
    <row r="336" spans="25:30" x14ac:dyDescent="0.3">
      <c r="Y336" s="1"/>
      <c r="Z336" s="1"/>
      <c r="AB336" s="2"/>
      <c r="AC336" s="2"/>
      <c r="AD336" s="3"/>
    </row>
    <row r="337" spans="25:30" x14ac:dyDescent="0.3">
      <c r="Y337" s="1"/>
      <c r="Z337" s="1"/>
      <c r="AB337" s="2"/>
      <c r="AC337" s="2"/>
      <c r="AD337" s="3"/>
    </row>
    <row r="338" spans="25:30" x14ac:dyDescent="0.3">
      <c r="Y338" s="1"/>
      <c r="Z338" s="1"/>
      <c r="AB338" s="2"/>
      <c r="AC338" s="2"/>
      <c r="AD338" s="3"/>
    </row>
    <row r="339" spans="25:30" x14ac:dyDescent="0.3">
      <c r="Y339" s="1"/>
      <c r="Z339" s="1"/>
      <c r="AB339" s="2"/>
      <c r="AC339" s="2"/>
      <c r="AD339" s="3"/>
    </row>
    <row r="340" spans="25:30" x14ac:dyDescent="0.3">
      <c r="Y340" s="1"/>
      <c r="Z340" s="1"/>
      <c r="AB340" s="2"/>
      <c r="AC340" s="2"/>
      <c r="AD340" s="3"/>
    </row>
    <row r="341" spans="25:30" x14ac:dyDescent="0.3">
      <c r="Y341" s="1"/>
      <c r="Z341" s="1"/>
      <c r="AB341" s="2"/>
      <c r="AC341" s="2"/>
      <c r="AD341" s="3"/>
    </row>
    <row r="342" spans="25:30" x14ac:dyDescent="0.3">
      <c r="Y342" s="1"/>
      <c r="Z342" s="1"/>
      <c r="AB342" s="2"/>
      <c r="AC342" s="2"/>
      <c r="AD342" s="3"/>
    </row>
    <row r="343" spans="25:30" x14ac:dyDescent="0.3">
      <c r="Y343" s="1"/>
      <c r="Z343" s="1"/>
      <c r="AB343" s="2"/>
      <c r="AC343" s="2"/>
      <c r="AD343" s="3"/>
    </row>
    <row r="344" spans="25:30" x14ac:dyDescent="0.3">
      <c r="Y344" s="1"/>
      <c r="Z344" s="1"/>
      <c r="AB344" s="2"/>
      <c r="AC344" s="2"/>
      <c r="AD344" s="3"/>
    </row>
    <row r="345" spans="25:30" x14ac:dyDescent="0.3">
      <c r="Y345" s="1"/>
      <c r="Z345" s="1"/>
      <c r="AB345" s="2"/>
      <c r="AC345" s="2"/>
      <c r="AD345" s="3"/>
    </row>
    <row r="346" spans="25:30" x14ac:dyDescent="0.3">
      <c r="Y346" s="1"/>
      <c r="Z346" s="1"/>
      <c r="AB346" s="2"/>
      <c r="AC346" s="2"/>
      <c r="AD346" s="3"/>
    </row>
    <row r="347" spans="25:30" x14ac:dyDescent="0.3">
      <c r="Y347" s="1"/>
      <c r="Z347" s="1"/>
      <c r="AB347" s="2"/>
      <c r="AC347" s="2"/>
      <c r="AD347" s="3"/>
    </row>
    <row r="348" spans="25:30" x14ac:dyDescent="0.3">
      <c r="Y348" s="1"/>
      <c r="Z348" s="1"/>
      <c r="AB348" s="2"/>
      <c r="AC348" s="2"/>
      <c r="AD348" s="3"/>
    </row>
    <row r="349" spans="25:30" x14ac:dyDescent="0.3">
      <c r="Y349" s="1"/>
      <c r="Z349" s="1"/>
      <c r="AB349" s="2"/>
      <c r="AC349" s="2"/>
      <c r="AD349" s="3"/>
    </row>
    <row r="350" spans="25:30" x14ac:dyDescent="0.3">
      <c r="Y350" s="1"/>
      <c r="Z350" s="1"/>
      <c r="AB350" s="2"/>
      <c r="AC350" s="2"/>
      <c r="AD350" s="3"/>
    </row>
    <row r="351" spans="25:30" x14ac:dyDescent="0.3">
      <c r="Y351" s="1"/>
      <c r="Z351" s="1"/>
      <c r="AB351" s="2"/>
      <c r="AC351" s="2"/>
      <c r="AD351" s="3"/>
    </row>
    <row r="352" spans="25:30" x14ac:dyDescent="0.3">
      <c r="Y352" s="1"/>
      <c r="Z352" s="1"/>
      <c r="AB352" s="2"/>
      <c r="AC352" s="2"/>
      <c r="AD352" s="3"/>
    </row>
    <row r="353" spans="25:30" x14ac:dyDescent="0.3">
      <c r="Y353" s="1"/>
      <c r="Z353" s="1"/>
      <c r="AB353" s="2"/>
      <c r="AC353" s="2"/>
      <c r="AD353" s="3"/>
    </row>
    <row r="354" spans="25:30" x14ac:dyDescent="0.3">
      <c r="Y354" s="1"/>
      <c r="Z354" s="1"/>
      <c r="AB354" s="2"/>
      <c r="AC354" s="2"/>
      <c r="AD354" s="3"/>
    </row>
    <row r="355" spans="25:30" x14ac:dyDescent="0.3">
      <c r="Y355" s="1"/>
      <c r="Z355" s="1"/>
      <c r="AB355" s="2"/>
      <c r="AC355" s="2"/>
      <c r="AD355" s="3"/>
    </row>
    <row r="356" spans="25:30" x14ac:dyDescent="0.3">
      <c r="Y356" s="1"/>
      <c r="Z356" s="1"/>
      <c r="AB356" s="2"/>
      <c r="AC356" s="2"/>
      <c r="AD356" s="3"/>
    </row>
    <row r="357" spans="25:30" x14ac:dyDescent="0.3">
      <c r="Y357" s="1"/>
      <c r="Z357" s="1"/>
      <c r="AB357" s="2"/>
      <c r="AC357" s="2"/>
      <c r="AD357" s="3"/>
    </row>
    <row r="358" spans="25:30" x14ac:dyDescent="0.3">
      <c r="Y358" s="1"/>
      <c r="Z358" s="1"/>
      <c r="AB358" s="2"/>
      <c r="AC358" s="2"/>
      <c r="AD358" s="3"/>
    </row>
    <row r="359" spans="25:30" x14ac:dyDescent="0.3">
      <c r="Y359" s="1"/>
      <c r="Z359" s="1"/>
      <c r="AB359" s="2"/>
      <c r="AC359" s="2"/>
      <c r="AD359" s="3"/>
    </row>
    <row r="360" spans="25:30" x14ac:dyDescent="0.3">
      <c r="Y360" s="1"/>
      <c r="Z360" s="1"/>
      <c r="AB360" s="2"/>
      <c r="AC360" s="2"/>
      <c r="AD360" s="3"/>
    </row>
    <row r="361" spans="25:30" x14ac:dyDescent="0.3">
      <c r="Y361" s="1"/>
      <c r="Z361" s="1"/>
      <c r="AB361" s="2"/>
      <c r="AC361" s="2"/>
      <c r="AD361" s="3"/>
    </row>
    <row r="362" spans="25:30" x14ac:dyDescent="0.3">
      <c r="Y362" s="1"/>
      <c r="Z362" s="1"/>
      <c r="AB362" s="2"/>
      <c r="AC362" s="2"/>
      <c r="AD362" s="3"/>
    </row>
    <row r="363" spans="25:30" x14ac:dyDescent="0.3">
      <c r="Y363" s="1"/>
      <c r="Z363" s="1"/>
      <c r="AB363" s="2"/>
      <c r="AC363" s="2"/>
      <c r="AD363" s="3"/>
    </row>
    <row r="364" spans="25:30" x14ac:dyDescent="0.3">
      <c r="Y364" s="1"/>
      <c r="Z364" s="1"/>
      <c r="AB364" s="2"/>
      <c r="AC364" s="2"/>
      <c r="AD364" s="3"/>
    </row>
    <row r="365" spans="25:30" x14ac:dyDescent="0.3">
      <c r="Y365" s="1"/>
      <c r="Z365" s="1"/>
      <c r="AB365" s="2"/>
      <c r="AC365" s="2"/>
      <c r="AD365" s="3"/>
    </row>
    <row r="366" spans="25:30" x14ac:dyDescent="0.3">
      <c r="Y366" s="1"/>
      <c r="Z366" s="1"/>
      <c r="AB366" s="2"/>
      <c r="AC366" s="2"/>
      <c r="AD366" s="3"/>
    </row>
    <row r="367" spans="25:30" x14ac:dyDescent="0.3">
      <c r="Y367" s="1"/>
      <c r="Z367" s="1"/>
      <c r="AB367" s="2"/>
      <c r="AC367" s="2"/>
      <c r="AD367" s="3"/>
    </row>
    <row r="368" spans="25:30" x14ac:dyDescent="0.3">
      <c r="Y368" s="1"/>
      <c r="Z368" s="1"/>
      <c r="AB368" s="2"/>
      <c r="AC368" s="2"/>
      <c r="AD368" s="3"/>
    </row>
    <row r="369" spans="25:30" x14ac:dyDescent="0.3">
      <c r="Y369" s="1"/>
      <c r="Z369" s="1"/>
      <c r="AB369" s="2"/>
      <c r="AC369" s="2"/>
      <c r="AD369" s="3"/>
    </row>
    <row r="370" spans="25:30" x14ac:dyDescent="0.3">
      <c r="Y370" s="1"/>
      <c r="Z370" s="1"/>
      <c r="AB370" s="2"/>
      <c r="AC370" s="2"/>
      <c r="AD370" s="3"/>
    </row>
    <row r="371" spans="25:30" x14ac:dyDescent="0.3">
      <c r="Y371" s="1"/>
      <c r="Z371" s="1"/>
      <c r="AB371" s="2"/>
      <c r="AC371" s="2"/>
      <c r="AD371" s="3"/>
    </row>
    <row r="372" spans="25:30" x14ac:dyDescent="0.3">
      <c r="Y372" s="1"/>
      <c r="Z372" s="1"/>
      <c r="AB372" s="2"/>
      <c r="AC372" s="2"/>
      <c r="AD372" s="3"/>
    </row>
    <row r="373" spans="25:30" x14ac:dyDescent="0.3">
      <c r="Y373" s="1"/>
      <c r="Z373" s="1"/>
      <c r="AB373" s="2"/>
      <c r="AC373" s="2"/>
      <c r="AD373" s="3"/>
    </row>
    <row r="374" spans="25:30" x14ac:dyDescent="0.3">
      <c r="Y374" s="1"/>
      <c r="Z374" s="1"/>
      <c r="AB374" s="2"/>
      <c r="AC374" s="2"/>
      <c r="AD374" s="3"/>
    </row>
    <row r="375" spans="25:30" x14ac:dyDescent="0.3">
      <c r="Y375" s="1"/>
      <c r="Z375" s="1"/>
      <c r="AB375" s="2"/>
      <c r="AC375" s="2"/>
      <c r="AD375" s="3"/>
    </row>
    <row r="376" spans="25:30" x14ac:dyDescent="0.3">
      <c r="Y376" s="1"/>
      <c r="Z376" s="1"/>
      <c r="AB376" s="2"/>
      <c r="AC376" s="2"/>
      <c r="AD376" s="3"/>
    </row>
    <row r="377" spans="25:30" x14ac:dyDescent="0.3">
      <c r="Y377" s="1"/>
      <c r="Z377" s="1"/>
      <c r="AB377" s="2"/>
      <c r="AC377" s="2"/>
      <c r="AD377" s="3"/>
    </row>
    <row r="378" spans="25:30" x14ac:dyDescent="0.3">
      <c r="Y378" s="1"/>
      <c r="Z378" s="1"/>
      <c r="AB378" s="2"/>
      <c r="AC378" s="2"/>
      <c r="AD378" s="3"/>
    </row>
    <row r="379" spans="25:30" x14ac:dyDescent="0.3">
      <c r="Y379" s="1"/>
      <c r="Z379" s="1"/>
      <c r="AB379" s="2"/>
      <c r="AC379" s="2"/>
      <c r="AD379" s="3"/>
    </row>
    <row r="380" spans="25:30" x14ac:dyDescent="0.3">
      <c r="Y380" s="1"/>
      <c r="Z380" s="1"/>
      <c r="AB380" s="2"/>
      <c r="AC380" s="2"/>
      <c r="AD380" s="3"/>
    </row>
    <row r="381" spans="25:30" x14ac:dyDescent="0.3">
      <c r="Y381" s="1"/>
      <c r="Z381" s="1"/>
      <c r="AB381" s="2"/>
      <c r="AC381" s="2"/>
      <c r="AD381" s="3"/>
    </row>
    <row r="382" spans="25:30" x14ac:dyDescent="0.3">
      <c r="Y382" s="1"/>
      <c r="Z382" s="1"/>
      <c r="AB382" s="2"/>
      <c r="AC382" s="2"/>
      <c r="AD382" s="3"/>
    </row>
    <row r="383" spans="25:30" x14ac:dyDescent="0.3">
      <c r="Y383" s="1"/>
      <c r="Z383" s="1"/>
      <c r="AB383" s="2"/>
      <c r="AC383" s="2"/>
      <c r="AD383" s="3"/>
    </row>
    <row r="384" spans="25:30" x14ac:dyDescent="0.3">
      <c r="Y384" s="1"/>
      <c r="Z384" s="1"/>
      <c r="AB384" s="2"/>
      <c r="AC384" s="2"/>
      <c r="AD384" s="3"/>
    </row>
    <row r="385" spans="25:30" x14ac:dyDescent="0.3">
      <c r="Y385" s="1"/>
      <c r="Z385" s="1"/>
      <c r="AB385" s="2"/>
      <c r="AC385" s="2"/>
      <c r="AD385" s="3"/>
    </row>
    <row r="386" spans="25:30" x14ac:dyDescent="0.3">
      <c r="Y386" s="1"/>
      <c r="Z386" s="1"/>
      <c r="AB386" s="2"/>
      <c r="AC386" s="2"/>
      <c r="AD386" s="3"/>
    </row>
    <row r="387" spans="25:30" x14ac:dyDescent="0.3">
      <c r="Y387" s="1"/>
      <c r="Z387" s="1"/>
      <c r="AB387" s="2"/>
      <c r="AC387" s="2"/>
      <c r="AD387" s="3"/>
    </row>
    <row r="388" spans="25:30" x14ac:dyDescent="0.3">
      <c r="Y388" s="1"/>
      <c r="Z388" s="1"/>
      <c r="AB388" s="2"/>
      <c r="AC388" s="2"/>
      <c r="AD388" s="3"/>
    </row>
    <row r="389" spans="25:30" x14ac:dyDescent="0.3">
      <c r="Y389" s="1"/>
      <c r="Z389" s="1"/>
      <c r="AB389" s="2"/>
      <c r="AC389" s="2"/>
      <c r="AD389" s="3"/>
    </row>
    <row r="390" spans="25:30" x14ac:dyDescent="0.3">
      <c r="Y390" s="1"/>
      <c r="Z390" s="1"/>
      <c r="AB390" s="2"/>
      <c r="AC390" s="2"/>
      <c r="AD390" s="3"/>
    </row>
    <row r="391" spans="25:30" x14ac:dyDescent="0.3">
      <c r="Y391" s="1"/>
      <c r="Z391" s="1"/>
      <c r="AB391" s="2"/>
      <c r="AC391" s="2"/>
      <c r="AD391" s="3"/>
    </row>
    <row r="392" spans="25:30" x14ac:dyDescent="0.3">
      <c r="Y392" s="1"/>
      <c r="Z392" s="1"/>
      <c r="AB392" s="2"/>
      <c r="AC392" s="2"/>
      <c r="AD392" s="3"/>
    </row>
    <row r="393" spans="25:30" x14ac:dyDescent="0.3">
      <c r="Y393" s="1"/>
      <c r="Z393" s="1"/>
      <c r="AB393" s="2"/>
      <c r="AC393" s="2"/>
      <c r="AD393" s="3"/>
    </row>
    <row r="394" spans="25:30" x14ac:dyDescent="0.3">
      <c r="Y394" s="1"/>
      <c r="Z394" s="1"/>
      <c r="AB394" s="2"/>
      <c r="AC394" s="2"/>
      <c r="AD394" s="3"/>
    </row>
    <row r="395" spans="25:30" x14ac:dyDescent="0.3">
      <c r="Y395" s="1"/>
      <c r="Z395" s="1"/>
      <c r="AB395" s="2"/>
      <c r="AC395" s="2"/>
      <c r="AD395" s="3"/>
    </row>
    <row r="396" spans="25:30" x14ac:dyDescent="0.3">
      <c r="Y396" s="1"/>
      <c r="Z396" s="1"/>
      <c r="AB396" s="2"/>
      <c r="AC396" s="2"/>
      <c r="AD396" s="3"/>
    </row>
    <row r="397" spans="25:30" x14ac:dyDescent="0.3">
      <c r="Y397" s="1"/>
      <c r="Z397" s="1"/>
      <c r="AB397" s="2"/>
      <c r="AC397" s="2"/>
      <c r="AD397" s="3"/>
    </row>
    <row r="398" spans="25:30" x14ac:dyDescent="0.3">
      <c r="Y398" s="1"/>
      <c r="Z398" s="1"/>
      <c r="AB398" s="2"/>
      <c r="AC398" s="2"/>
      <c r="AD398" s="3"/>
    </row>
    <row r="399" spans="25:30" x14ac:dyDescent="0.3">
      <c r="Y399" s="1"/>
      <c r="Z399" s="1"/>
      <c r="AB399" s="2"/>
      <c r="AC399" s="2"/>
      <c r="AD399" s="3"/>
    </row>
    <row r="400" spans="25:30" x14ac:dyDescent="0.3">
      <c r="Y400" s="1"/>
      <c r="Z400" s="1"/>
      <c r="AB400" s="2"/>
      <c r="AC400" s="2"/>
      <c r="AD400" s="3"/>
    </row>
    <row r="401" spans="25:30" x14ac:dyDescent="0.3">
      <c r="Y401" s="1"/>
      <c r="Z401" s="1"/>
      <c r="AB401" s="2"/>
      <c r="AC401" s="2"/>
      <c r="AD401" s="3"/>
    </row>
    <row r="402" spans="25:30" x14ac:dyDescent="0.3">
      <c r="Y402" s="1"/>
      <c r="Z402" s="1"/>
      <c r="AB402" s="2"/>
      <c r="AC402" s="2"/>
      <c r="AD402" s="3"/>
    </row>
    <row r="403" spans="25:30" x14ac:dyDescent="0.3">
      <c r="Y403" s="1"/>
      <c r="Z403" s="1"/>
      <c r="AB403" s="2"/>
      <c r="AC403" s="2"/>
      <c r="AD403" s="3"/>
    </row>
    <row r="404" spans="25:30" x14ac:dyDescent="0.3">
      <c r="Y404" s="1"/>
      <c r="Z404" s="1"/>
      <c r="AB404" s="2"/>
      <c r="AC404" s="2"/>
      <c r="AD404" s="3"/>
    </row>
    <row r="405" spans="25:30" x14ac:dyDescent="0.3">
      <c r="Y405" s="1"/>
      <c r="Z405" s="1"/>
      <c r="AB405" s="2"/>
      <c r="AC405" s="2"/>
      <c r="AD405" s="3"/>
    </row>
    <row r="406" spans="25:30" x14ac:dyDescent="0.3">
      <c r="Y406" s="1"/>
      <c r="Z406" s="1"/>
      <c r="AB406" s="2"/>
      <c r="AC406" s="2"/>
      <c r="AD406" s="3"/>
    </row>
    <row r="407" spans="25:30" x14ac:dyDescent="0.3">
      <c r="Y407" s="1"/>
      <c r="Z407" s="1"/>
      <c r="AB407" s="2"/>
      <c r="AC407" s="2"/>
      <c r="AD407" s="3"/>
    </row>
    <row r="408" spans="25:30" x14ac:dyDescent="0.3">
      <c r="Y408" s="1"/>
      <c r="Z408" s="1"/>
      <c r="AB408" s="2"/>
      <c r="AC408" s="2"/>
      <c r="AD408" s="3"/>
    </row>
    <row r="409" spans="25:30" x14ac:dyDescent="0.3">
      <c r="Y409" s="1"/>
      <c r="Z409" s="1"/>
      <c r="AB409" s="2"/>
      <c r="AC409" s="2"/>
      <c r="AD409" s="3"/>
    </row>
    <row r="410" spans="25:30" x14ac:dyDescent="0.3">
      <c r="Y410" s="1"/>
      <c r="Z410" s="1"/>
      <c r="AB410" s="2"/>
      <c r="AC410" s="2"/>
      <c r="AD410" s="3"/>
    </row>
    <row r="411" spans="25:30" x14ac:dyDescent="0.3">
      <c r="Y411" s="1"/>
      <c r="Z411" s="1"/>
      <c r="AB411" s="2"/>
      <c r="AC411" s="2"/>
      <c r="AD411" s="3"/>
    </row>
    <row r="412" spans="25:30" x14ac:dyDescent="0.3">
      <c r="Y412" s="1"/>
      <c r="Z412" s="1"/>
      <c r="AB412" s="2"/>
      <c r="AC412" s="2"/>
      <c r="AD412" s="3"/>
    </row>
    <row r="413" spans="25:30" x14ac:dyDescent="0.3">
      <c r="Y413" s="1"/>
      <c r="Z413" s="1"/>
      <c r="AB413" s="2"/>
      <c r="AC413" s="2"/>
      <c r="AD413" s="3"/>
    </row>
    <row r="414" spans="25:30" x14ac:dyDescent="0.3">
      <c r="Y414" s="1"/>
      <c r="Z414" s="1"/>
      <c r="AB414" s="2"/>
      <c r="AC414" s="2"/>
      <c r="AD414" s="3"/>
    </row>
    <row r="415" spans="25:30" x14ac:dyDescent="0.3">
      <c r="Y415" s="1"/>
      <c r="Z415" s="1"/>
      <c r="AB415" s="2"/>
      <c r="AC415" s="2"/>
      <c r="AD415" s="3"/>
    </row>
    <row r="416" spans="25:30" x14ac:dyDescent="0.3">
      <c r="Y416" s="1"/>
      <c r="Z416" s="1"/>
      <c r="AB416" s="2"/>
      <c r="AC416" s="2"/>
      <c r="AD416" s="3"/>
    </row>
    <row r="417" spans="25:30" x14ac:dyDescent="0.3">
      <c r="Y417" s="1"/>
      <c r="Z417" s="1"/>
      <c r="AB417" s="2"/>
      <c r="AC417" s="2"/>
      <c r="AD417" s="3"/>
    </row>
    <row r="418" spans="25:30" x14ac:dyDescent="0.3">
      <c r="Y418" s="1"/>
      <c r="Z418" s="1"/>
      <c r="AB418" s="2"/>
      <c r="AC418" s="2"/>
      <c r="AD418" s="3"/>
    </row>
    <row r="419" spans="25:30" x14ac:dyDescent="0.3">
      <c r="Y419" s="1"/>
      <c r="Z419" s="1"/>
      <c r="AB419" s="2"/>
      <c r="AC419" s="2"/>
      <c r="AD419" s="3"/>
    </row>
    <row r="420" spans="25:30" x14ac:dyDescent="0.3">
      <c r="Y420" s="1"/>
      <c r="Z420" s="1"/>
      <c r="AB420" s="2"/>
      <c r="AC420" s="2"/>
      <c r="AD420" s="3"/>
    </row>
    <row r="421" spans="25:30" x14ac:dyDescent="0.3">
      <c r="Y421" s="1"/>
      <c r="Z421" s="1"/>
      <c r="AB421" s="2"/>
      <c r="AC421" s="2"/>
      <c r="AD421" s="3"/>
    </row>
    <row r="422" spans="25:30" x14ac:dyDescent="0.3">
      <c r="Y422" s="1"/>
      <c r="Z422" s="1"/>
      <c r="AB422" s="2"/>
      <c r="AC422" s="2"/>
      <c r="AD422" s="3"/>
    </row>
    <row r="423" spans="25:30" x14ac:dyDescent="0.3">
      <c r="Y423" s="1"/>
      <c r="Z423" s="1"/>
      <c r="AB423" s="2"/>
      <c r="AC423" s="2"/>
      <c r="AD423" s="3"/>
    </row>
    <row r="424" spans="25:30" x14ac:dyDescent="0.3">
      <c r="Y424" s="1"/>
      <c r="Z424" s="1"/>
      <c r="AB424" s="2"/>
      <c r="AC424" s="2"/>
      <c r="AD424" s="3"/>
    </row>
    <row r="425" spans="25:30" x14ac:dyDescent="0.3">
      <c r="Y425" s="1"/>
      <c r="Z425" s="1"/>
      <c r="AB425" s="2"/>
      <c r="AC425" s="2"/>
      <c r="AD425" s="3"/>
    </row>
    <row r="426" spans="25:30" x14ac:dyDescent="0.3">
      <c r="Y426" s="1"/>
      <c r="Z426" s="1"/>
      <c r="AB426" s="2"/>
      <c r="AC426" s="2"/>
      <c r="AD426" s="3"/>
    </row>
    <row r="427" spans="25:30" x14ac:dyDescent="0.3">
      <c r="Y427" s="1"/>
      <c r="Z427" s="1"/>
      <c r="AB427" s="2"/>
      <c r="AC427" s="2"/>
      <c r="AD427" s="3"/>
    </row>
    <row r="428" spans="25:30" x14ac:dyDescent="0.3">
      <c r="Y428" s="1"/>
      <c r="Z428" s="1"/>
      <c r="AB428" s="2"/>
      <c r="AC428" s="2"/>
      <c r="AD428" s="3"/>
    </row>
    <row r="429" spans="25:30" x14ac:dyDescent="0.3">
      <c r="Y429" s="1"/>
      <c r="Z429" s="1"/>
      <c r="AB429" s="2"/>
      <c r="AC429" s="2"/>
      <c r="AD429" s="3"/>
    </row>
    <row r="430" spans="25:30" x14ac:dyDescent="0.3">
      <c r="Y430" s="1"/>
      <c r="Z430" s="1"/>
      <c r="AB430" s="2"/>
      <c r="AC430" s="2"/>
      <c r="AD430" s="3"/>
    </row>
    <row r="431" spans="25:30" x14ac:dyDescent="0.3">
      <c r="Y431" s="1"/>
      <c r="Z431" s="1"/>
      <c r="AB431" s="2"/>
      <c r="AC431" s="2"/>
      <c r="AD431" s="3"/>
    </row>
    <row r="432" spans="25:30" x14ac:dyDescent="0.3">
      <c r="Y432" s="1"/>
      <c r="Z432" s="1"/>
      <c r="AB432" s="2"/>
      <c r="AC432" s="2"/>
      <c r="AD432" s="3"/>
    </row>
    <row r="433" spans="25:30" x14ac:dyDescent="0.3">
      <c r="Y433" s="1"/>
      <c r="Z433" s="1"/>
      <c r="AB433" s="2"/>
      <c r="AC433" s="2"/>
      <c r="AD433" s="3"/>
    </row>
    <row r="434" spans="25:30" x14ac:dyDescent="0.3">
      <c r="Y434" s="1"/>
      <c r="Z434" s="1"/>
      <c r="AB434" s="2"/>
      <c r="AC434" s="2"/>
      <c r="AD434" s="3"/>
    </row>
    <row r="435" spans="25:30" x14ac:dyDescent="0.3">
      <c r="Y435" s="1"/>
      <c r="Z435" s="1"/>
      <c r="AB435" s="2"/>
      <c r="AC435" s="2"/>
      <c r="AD435" s="3"/>
    </row>
    <row r="436" spans="25:30" x14ac:dyDescent="0.3">
      <c r="Y436" s="1"/>
      <c r="Z436" s="1"/>
      <c r="AB436" s="2"/>
      <c r="AC436" s="2"/>
      <c r="AD436" s="3"/>
    </row>
    <row r="437" spans="25:30" x14ac:dyDescent="0.3">
      <c r="Y437" s="1"/>
      <c r="Z437" s="1"/>
      <c r="AB437" s="2"/>
      <c r="AC437" s="2"/>
      <c r="AD437" s="3"/>
    </row>
    <row r="438" spans="25:30" x14ac:dyDescent="0.3">
      <c r="Y438" s="1"/>
      <c r="Z438" s="1"/>
      <c r="AB438" s="2"/>
      <c r="AC438" s="2"/>
      <c r="AD438" s="3"/>
    </row>
    <row r="439" spans="25:30" x14ac:dyDescent="0.3">
      <c r="Y439" s="1"/>
      <c r="Z439" s="1"/>
      <c r="AB439" s="2"/>
      <c r="AC439" s="2"/>
      <c r="AD439" s="3"/>
    </row>
    <row r="440" spans="25:30" x14ac:dyDescent="0.3">
      <c r="Y440" s="1"/>
      <c r="Z440" s="1"/>
      <c r="AB440" s="2"/>
      <c r="AC440" s="2"/>
      <c r="AD440" s="3"/>
    </row>
    <row r="441" spans="25:30" x14ac:dyDescent="0.3">
      <c r="Y441" s="1"/>
      <c r="Z441" s="1"/>
      <c r="AB441" s="2"/>
      <c r="AC441" s="2"/>
      <c r="AD441" s="3"/>
    </row>
    <row r="442" spans="25:30" x14ac:dyDescent="0.3">
      <c r="Y442" s="1"/>
      <c r="Z442" s="1"/>
      <c r="AB442" s="2"/>
      <c r="AC442" s="2"/>
      <c r="AD442" s="3"/>
    </row>
    <row r="443" spans="25:30" x14ac:dyDescent="0.3">
      <c r="Y443" s="1"/>
      <c r="Z443" s="1"/>
      <c r="AB443" s="2"/>
      <c r="AC443" s="2"/>
      <c r="AD443" s="3"/>
    </row>
    <row r="444" spans="25:30" x14ac:dyDescent="0.3">
      <c r="Y444" s="1"/>
      <c r="Z444" s="1"/>
      <c r="AB444" s="2"/>
      <c r="AC444" s="2"/>
      <c r="AD444" s="3"/>
    </row>
    <row r="445" spans="25:30" x14ac:dyDescent="0.3">
      <c r="Y445" s="1"/>
      <c r="Z445" s="1"/>
      <c r="AB445" s="2"/>
      <c r="AC445" s="2"/>
      <c r="AD445" s="3"/>
    </row>
    <row r="446" spans="25:30" x14ac:dyDescent="0.3">
      <c r="Y446" s="1"/>
      <c r="Z446" s="1"/>
      <c r="AB446" s="2"/>
      <c r="AC446" s="2"/>
      <c r="AD446" s="3"/>
    </row>
    <row r="447" spans="25:30" x14ac:dyDescent="0.3">
      <c r="Y447" s="1"/>
      <c r="Z447" s="1"/>
      <c r="AB447" s="2"/>
      <c r="AC447" s="2"/>
      <c r="AD447" s="3"/>
    </row>
    <row r="448" spans="25:30" x14ac:dyDescent="0.3">
      <c r="Y448" s="1"/>
      <c r="Z448" s="1"/>
      <c r="AB448" s="2"/>
      <c r="AC448" s="2"/>
      <c r="AD448" s="3"/>
    </row>
    <row r="449" spans="25:30" x14ac:dyDescent="0.3">
      <c r="Y449" s="1"/>
      <c r="Z449" s="1"/>
      <c r="AB449" s="2"/>
      <c r="AC449" s="2"/>
      <c r="AD449" s="3"/>
    </row>
    <row r="450" spans="25:30" x14ac:dyDescent="0.3">
      <c r="Y450" s="1"/>
      <c r="Z450" s="1"/>
      <c r="AB450" s="2"/>
      <c r="AC450" s="2"/>
      <c r="AD450" s="3"/>
    </row>
    <row r="451" spans="25:30" x14ac:dyDescent="0.3">
      <c r="Y451" s="1"/>
      <c r="Z451" s="1"/>
      <c r="AB451" s="2"/>
      <c r="AC451" s="2"/>
      <c r="AD451" s="3"/>
    </row>
    <row r="452" spans="25:30" x14ac:dyDescent="0.3">
      <c r="Y452" s="1"/>
      <c r="Z452" s="1"/>
      <c r="AB452" s="2"/>
      <c r="AC452" s="2"/>
      <c r="AD452" s="3"/>
    </row>
    <row r="453" spans="25:30" x14ac:dyDescent="0.3">
      <c r="Y453" s="1"/>
      <c r="Z453" s="1"/>
      <c r="AB453" s="2"/>
      <c r="AC453" s="2"/>
      <c r="AD453" s="3"/>
    </row>
    <row r="454" spans="25:30" x14ac:dyDescent="0.3">
      <c r="Y454" s="1"/>
      <c r="Z454" s="1"/>
      <c r="AB454" s="2"/>
      <c r="AC454" s="2"/>
      <c r="AD454" s="3"/>
    </row>
    <row r="455" spans="25:30" x14ac:dyDescent="0.3">
      <c r="Y455" s="1"/>
      <c r="Z455" s="1"/>
      <c r="AB455" s="2"/>
      <c r="AC455" s="2"/>
      <c r="AD455" s="3"/>
    </row>
    <row r="456" spans="25:30" x14ac:dyDescent="0.3">
      <c r="Y456" s="1"/>
      <c r="Z456" s="1"/>
      <c r="AB456" s="2"/>
      <c r="AC456" s="2"/>
      <c r="AD456" s="3"/>
    </row>
    <row r="457" spans="25:30" x14ac:dyDescent="0.3">
      <c r="Y457" s="1"/>
      <c r="Z457" s="1"/>
      <c r="AB457" s="2"/>
      <c r="AC457" s="2"/>
      <c r="AD457" s="3"/>
    </row>
    <row r="458" spans="25:30" x14ac:dyDescent="0.3">
      <c r="Y458" s="1"/>
      <c r="Z458" s="1"/>
      <c r="AB458" s="2"/>
      <c r="AC458" s="2"/>
      <c r="AD458" s="3"/>
    </row>
    <row r="459" spans="25:30" x14ac:dyDescent="0.3">
      <c r="Y459" s="1"/>
      <c r="Z459" s="1"/>
      <c r="AB459" s="2"/>
      <c r="AC459" s="2"/>
      <c r="AD459" s="3"/>
    </row>
    <row r="460" spans="25:30" x14ac:dyDescent="0.3">
      <c r="Y460" s="1"/>
      <c r="Z460" s="1"/>
      <c r="AB460" s="2"/>
      <c r="AC460" s="2"/>
      <c r="AD460" s="3"/>
    </row>
    <row r="461" spans="25:30" x14ac:dyDescent="0.3">
      <c r="Y461" s="1"/>
      <c r="Z461" s="1"/>
      <c r="AB461" s="2"/>
      <c r="AC461" s="2"/>
      <c r="AD461" s="3"/>
    </row>
    <row r="462" spans="25:30" x14ac:dyDescent="0.3">
      <c r="Y462" s="1"/>
      <c r="Z462" s="1"/>
      <c r="AB462" s="2"/>
      <c r="AC462" s="2"/>
      <c r="AD462" s="3"/>
    </row>
    <row r="463" spans="25:30" x14ac:dyDescent="0.3">
      <c r="Y463" s="1"/>
      <c r="Z463" s="1"/>
      <c r="AB463" s="2"/>
      <c r="AC463" s="2"/>
      <c r="AD463" s="3"/>
    </row>
    <row r="464" spans="25:30" x14ac:dyDescent="0.3">
      <c r="Y464" s="1"/>
      <c r="Z464" s="1"/>
      <c r="AB464" s="2"/>
      <c r="AC464" s="2"/>
      <c r="AD464" s="3"/>
    </row>
    <row r="465" spans="25:30" x14ac:dyDescent="0.3">
      <c r="Y465" s="1"/>
      <c r="Z465" s="1"/>
      <c r="AB465" s="2"/>
      <c r="AC465" s="2"/>
      <c r="AD465" s="3"/>
    </row>
    <row r="466" spans="25:30" x14ac:dyDescent="0.3">
      <c r="Y466" s="1"/>
      <c r="Z466" s="1"/>
      <c r="AB466" s="2"/>
      <c r="AC466" s="2"/>
      <c r="AD466" s="3"/>
    </row>
    <row r="467" spans="25:30" x14ac:dyDescent="0.3">
      <c r="Y467" s="1"/>
      <c r="Z467" s="1"/>
      <c r="AB467" s="2"/>
      <c r="AC467" s="2"/>
      <c r="AD467" s="3"/>
    </row>
    <row r="468" spans="25:30" x14ac:dyDescent="0.3">
      <c r="Y468" s="1"/>
      <c r="Z468" s="1"/>
      <c r="AB468" s="2"/>
      <c r="AC468" s="2"/>
      <c r="AD468" s="3"/>
    </row>
    <row r="469" spans="25:30" x14ac:dyDescent="0.3">
      <c r="Y469" s="1"/>
      <c r="Z469" s="1"/>
      <c r="AB469" s="2"/>
      <c r="AC469" s="2"/>
      <c r="AD469" s="3"/>
    </row>
    <row r="470" spans="25:30" x14ac:dyDescent="0.3">
      <c r="Y470" s="1"/>
      <c r="Z470" s="1"/>
      <c r="AB470" s="2"/>
      <c r="AC470" s="2"/>
      <c r="AD470" s="3"/>
    </row>
    <row r="471" spans="25:30" x14ac:dyDescent="0.3">
      <c r="Y471" s="1"/>
      <c r="Z471" s="1"/>
      <c r="AB471" s="2"/>
      <c r="AC471" s="2"/>
      <c r="AD471" s="3"/>
    </row>
    <row r="472" spans="25:30" x14ac:dyDescent="0.3">
      <c r="Y472" s="1"/>
      <c r="Z472" s="1"/>
      <c r="AB472" s="2"/>
      <c r="AC472" s="2"/>
      <c r="AD472" s="3"/>
    </row>
    <row r="473" spans="25:30" x14ac:dyDescent="0.3">
      <c r="Y473" s="1"/>
      <c r="Z473" s="1"/>
      <c r="AB473" s="2"/>
      <c r="AC473" s="2"/>
      <c r="AD473" s="3"/>
    </row>
    <row r="474" spans="25:30" x14ac:dyDescent="0.3">
      <c r="Y474" s="1"/>
      <c r="Z474" s="1"/>
      <c r="AB474" s="2"/>
      <c r="AC474" s="2"/>
      <c r="AD474" s="3"/>
    </row>
    <row r="475" spans="25:30" x14ac:dyDescent="0.3">
      <c r="Y475" s="1"/>
      <c r="Z475" s="1"/>
      <c r="AB475" s="2"/>
      <c r="AC475" s="2"/>
      <c r="AD475" s="3"/>
    </row>
    <row r="476" spans="25:30" x14ac:dyDescent="0.3">
      <c r="Y476" s="1"/>
      <c r="Z476" s="1"/>
      <c r="AB476" s="2"/>
      <c r="AC476" s="2"/>
      <c r="AD476" s="3"/>
    </row>
    <row r="477" spans="25:30" x14ac:dyDescent="0.3">
      <c r="Y477" s="1"/>
      <c r="Z477" s="1"/>
      <c r="AB477" s="2"/>
      <c r="AC477" s="2"/>
      <c r="AD477" s="3"/>
    </row>
    <row r="478" spans="25:30" x14ac:dyDescent="0.3">
      <c r="Y478" s="1"/>
      <c r="Z478" s="1"/>
      <c r="AB478" s="2"/>
      <c r="AC478" s="2"/>
      <c r="AD478" s="3"/>
    </row>
    <row r="479" spans="25:30" x14ac:dyDescent="0.3">
      <c r="Y479" s="1"/>
      <c r="Z479" s="1"/>
      <c r="AB479" s="2"/>
      <c r="AC479" s="2"/>
      <c r="AD479" s="3"/>
    </row>
    <row r="480" spans="25:30" x14ac:dyDescent="0.3">
      <c r="Y480" s="1"/>
      <c r="Z480" s="1"/>
      <c r="AB480" s="2"/>
      <c r="AC480" s="2"/>
      <c r="AD480" s="3"/>
    </row>
    <row r="481" spans="25:30" x14ac:dyDescent="0.3">
      <c r="Y481" s="1"/>
      <c r="Z481" s="1"/>
      <c r="AB481" s="2"/>
      <c r="AC481" s="2"/>
      <c r="AD481" s="3"/>
    </row>
    <row r="482" spans="25:30" x14ac:dyDescent="0.3">
      <c r="Y482" s="1"/>
      <c r="Z482" s="1"/>
      <c r="AB482" s="2"/>
      <c r="AC482" s="2"/>
      <c r="AD482" s="3"/>
    </row>
    <row r="483" spans="25:30" x14ac:dyDescent="0.3">
      <c r="Y483" s="1"/>
      <c r="Z483" s="1"/>
      <c r="AB483" s="2"/>
      <c r="AC483" s="2"/>
      <c r="AD483" s="3"/>
    </row>
    <row r="484" spans="25:30" x14ac:dyDescent="0.3">
      <c r="Y484" s="1"/>
      <c r="Z484" s="1"/>
      <c r="AB484" s="2"/>
      <c r="AC484" s="2"/>
      <c r="AD484" s="3"/>
    </row>
    <row r="485" spans="25:30" x14ac:dyDescent="0.3">
      <c r="Y485" s="1"/>
      <c r="Z485" s="1"/>
      <c r="AB485" s="2"/>
      <c r="AC485" s="2"/>
      <c r="AD485" s="3"/>
    </row>
    <row r="486" spans="25:30" x14ac:dyDescent="0.3">
      <c r="Y486" s="1"/>
      <c r="Z486" s="1"/>
      <c r="AB486" s="2"/>
      <c r="AC486" s="2"/>
      <c r="AD486" s="3"/>
    </row>
    <row r="487" spans="25:30" x14ac:dyDescent="0.3">
      <c r="Y487" s="1"/>
      <c r="Z487" s="1"/>
      <c r="AB487" s="2"/>
      <c r="AC487" s="2"/>
      <c r="AD487" s="3"/>
    </row>
    <row r="488" spans="25:30" x14ac:dyDescent="0.3">
      <c r="Y488" s="1"/>
      <c r="Z488" s="1"/>
      <c r="AB488" s="2"/>
      <c r="AC488" s="2"/>
      <c r="AD488" s="3"/>
    </row>
    <row r="489" spans="25:30" x14ac:dyDescent="0.3">
      <c r="Y489" s="1"/>
      <c r="Z489" s="1"/>
      <c r="AB489" s="2"/>
      <c r="AC489" s="2"/>
      <c r="AD489" s="3"/>
    </row>
    <row r="490" spans="25:30" x14ac:dyDescent="0.3">
      <c r="Y490" s="1"/>
      <c r="Z490" s="1"/>
      <c r="AB490" s="2"/>
      <c r="AC490" s="2"/>
      <c r="AD490" s="3"/>
    </row>
    <row r="491" spans="25:30" x14ac:dyDescent="0.3">
      <c r="Y491" s="1"/>
      <c r="Z491" s="1"/>
      <c r="AB491" s="2"/>
      <c r="AC491" s="2"/>
      <c r="AD491" s="3"/>
    </row>
    <row r="492" spans="25:30" x14ac:dyDescent="0.3">
      <c r="Y492" s="1"/>
      <c r="Z492" s="1"/>
      <c r="AB492" s="2"/>
      <c r="AC492" s="2"/>
      <c r="AD492" s="3"/>
    </row>
    <row r="493" spans="25:30" x14ac:dyDescent="0.3">
      <c r="Y493" s="1"/>
      <c r="Z493" s="1"/>
      <c r="AB493" s="2"/>
      <c r="AC493" s="2"/>
      <c r="AD493" s="3"/>
    </row>
    <row r="494" spans="25:30" x14ac:dyDescent="0.3">
      <c r="Y494" s="1"/>
      <c r="Z494" s="1"/>
      <c r="AB494" s="2"/>
      <c r="AC494" s="2"/>
      <c r="AD494" s="3"/>
    </row>
    <row r="495" spans="25:30" x14ac:dyDescent="0.3">
      <c r="Y495" s="1"/>
      <c r="Z495" s="1"/>
      <c r="AB495" s="2"/>
      <c r="AC495" s="2"/>
      <c r="AD495" s="3"/>
    </row>
    <row r="496" spans="25:30" x14ac:dyDescent="0.3">
      <c r="Y496" s="1"/>
      <c r="Z496" s="1"/>
      <c r="AB496" s="2"/>
      <c r="AC496" s="2"/>
      <c r="AD496" s="3"/>
    </row>
    <row r="497" spans="25:30" x14ac:dyDescent="0.3">
      <c r="Y497" s="1"/>
      <c r="Z497" s="1"/>
      <c r="AB497" s="2"/>
      <c r="AC497" s="2"/>
      <c r="AD497" s="3"/>
    </row>
    <row r="498" spans="25:30" x14ac:dyDescent="0.3">
      <c r="Y498" s="1"/>
      <c r="Z498" s="1"/>
      <c r="AB498" s="2"/>
      <c r="AC498" s="2"/>
      <c r="AD498" s="3"/>
    </row>
    <row r="499" spans="25:30" x14ac:dyDescent="0.3">
      <c r="Y499" s="1"/>
      <c r="Z499" s="1"/>
      <c r="AB499" s="2"/>
      <c r="AC499" s="2"/>
      <c r="AD499" s="3"/>
    </row>
    <row r="500" spans="25:30" x14ac:dyDescent="0.3">
      <c r="Y500" s="1"/>
      <c r="Z500" s="1"/>
      <c r="AB500" s="2"/>
      <c r="AC500" s="2"/>
      <c r="AD500" s="3"/>
    </row>
    <row r="501" spans="25:30" x14ac:dyDescent="0.3">
      <c r="Y501" s="1"/>
      <c r="Z501" s="1"/>
      <c r="AB501" s="2"/>
      <c r="AC501" s="2"/>
      <c r="AD501" s="3"/>
    </row>
    <row r="502" spans="25:30" x14ac:dyDescent="0.3">
      <c r="Y502" s="1"/>
      <c r="Z502" s="1"/>
      <c r="AB502" s="2"/>
      <c r="AC502" s="2"/>
      <c r="AD502" s="3"/>
    </row>
    <row r="503" spans="25:30" x14ac:dyDescent="0.3">
      <c r="Y503" s="1"/>
      <c r="Z503" s="1"/>
      <c r="AB503" s="2"/>
      <c r="AC503" s="2"/>
      <c r="AD503" s="3"/>
    </row>
    <row r="504" spans="25:30" x14ac:dyDescent="0.3">
      <c r="Y504" s="1"/>
      <c r="Z504" s="1"/>
      <c r="AB504" s="2"/>
      <c r="AC504" s="2"/>
      <c r="AD504" s="3"/>
    </row>
    <row r="505" spans="25:30" x14ac:dyDescent="0.3">
      <c r="Y505" s="1"/>
      <c r="Z505" s="1"/>
      <c r="AB505" s="2"/>
      <c r="AC505" s="2"/>
      <c r="AD505" s="3"/>
    </row>
    <row r="506" spans="25:30" x14ac:dyDescent="0.3">
      <c r="Y506" s="1"/>
      <c r="Z506" s="1"/>
      <c r="AB506" s="2"/>
      <c r="AC506" s="2"/>
      <c r="AD506" s="3"/>
    </row>
    <row r="507" spans="25:30" x14ac:dyDescent="0.3">
      <c r="Y507" s="1"/>
      <c r="Z507" s="1"/>
      <c r="AB507" s="2"/>
      <c r="AC507" s="2"/>
      <c r="AD507" s="3"/>
    </row>
    <row r="508" spans="25:30" x14ac:dyDescent="0.3">
      <c r="Y508" s="1"/>
      <c r="Z508" s="1"/>
      <c r="AB508" s="2"/>
      <c r="AC508" s="2"/>
      <c r="AD508" s="3"/>
    </row>
    <row r="509" spans="25:30" x14ac:dyDescent="0.3">
      <c r="Y509" s="1"/>
      <c r="Z509" s="1"/>
      <c r="AB509" s="2"/>
      <c r="AC509" s="2"/>
      <c r="AD509" s="3"/>
    </row>
    <row r="510" spans="25:30" x14ac:dyDescent="0.3">
      <c r="Y510" s="1"/>
      <c r="Z510" s="1"/>
      <c r="AB510" s="2"/>
      <c r="AC510" s="2"/>
      <c r="AD510" s="3"/>
    </row>
    <row r="511" spans="25:30" x14ac:dyDescent="0.3">
      <c r="Y511" s="1"/>
      <c r="Z511" s="1"/>
      <c r="AB511" s="2"/>
      <c r="AC511" s="2"/>
      <c r="AD511" s="3"/>
    </row>
    <row r="512" spans="25:30" x14ac:dyDescent="0.3">
      <c r="Y512" s="1"/>
      <c r="Z512" s="1"/>
      <c r="AB512" s="2"/>
      <c r="AC512" s="2"/>
      <c r="AD512" s="3"/>
    </row>
    <row r="513" spans="25:30" x14ac:dyDescent="0.3">
      <c r="Y513" s="1"/>
      <c r="Z513" s="1"/>
      <c r="AB513" s="2"/>
      <c r="AC513" s="2"/>
      <c r="AD513" s="3"/>
    </row>
    <row r="514" spans="25:30" x14ac:dyDescent="0.3">
      <c r="Y514" s="1"/>
      <c r="Z514" s="1"/>
      <c r="AB514" s="2"/>
      <c r="AC514" s="2"/>
      <c r="AD514" s="3"/>
    </row>
    <row r="515" spans="25:30" x14ac:dyDescent="0.3">
      <c r="Y515" s="1"/>
      <c r="Z515" s="1"/>
      <c r="AB515" s="2"/>
      <c r="AC515" s="2"/>
      <c r="AD515" s="3"/>
    </row>
    <row r="516" spans="25:30" x14ac:dyDescent="0.3">
      <c r="Y516" s="1"/>
      <c r="Z516" s="1"/>
      <c r="AB516" s="2"/>
      <c r="AC516" s="2"/>
      <c r="AD516" s="3"/>
    </row>
    <row r="517" spans="25:30" x14ac:dyDescent="0.3">
      <c r="Y517" s="1"/>
      <c r="Z517" s="1"/>
      <c r="AB517" s="2"/>
      <c r="AC517" s="2"/>
      <c r="AD517" s="3"/>
    </row>
    <row r="518" spans="25:30" x14ac:dyDescent="0.3">
      <c r="Y518" s="1"/>
      <c r="Z518" s="1"/>
      <c r="AB518" s="2"/>
      <c r="AC518" s="2"/>
      <c r="AD518" s="3"/>
    </row>
    <row r="519" spans="25:30" x14ac:dyDescent="0.3">
      <c r="Y519" s="1"/>
      <c r="Z519" s="1"/>
      <c r="AB519" s="2"/>
      <c r="AC519" s="2"/>
      <c r="AD519" s="3"/>
    </row>
    <row r="520" spans="25:30" x14ac:dyDescent="0.3">
      <c r="Y520" s="1"/>
      <c r="Z520" s="1"/>
      <c r="AB520" s="2"/>
      <c r="AC520" s="2"/>
      <c r="AD520" s="3"/>
    </row>
    <row r="521" spans="25:30" x14ac:dyDescent="0.3">
      <c r="Y521" s="1"/>
      <c r="Z521" s="1"/>
      <c r="AB521" s="2"/>
      <c r="AC521" s="2"/>
      <c r="AD521" s="3"/>
    </row>
    <row r="522" spans="25:30" x14ac:dyDescent="0.3">
      <c r="Y522" s="1"/>
      <c r="Z522" s="1"/>
      <c r="AB522" s="2"/>
      <c r="AC522" s="2"/>
      <c r="AD522" s="3"/>
    </row>
    <row r="523" spans="25:30" x14ac:dyDescent="0.3">
      <c r="Y523" s="1"/>
      <c r="Z523" s="1"/>
      <c r="AB523" s="2"/>
      <c r="AC523" s="2"/>
      <c r="AD523" s="3"/>
    </row>
    <row r="524" spans="25:30" x14ac:dyDescent="0.3">
      <c r="Y524" s="1"/>
      <c r="Z524" s="1"/>
      <c r="AB524" s="2"/>
      <c r="AC524" s="2"/>
      <c r="AD524" s="3"/>
    </row>
    <row r="525" spans="25:30" x14ac:dyDescent="0.3">
      <c r="Y525" s="1"/>
      <c r="Z525" s="1"/>
      <c r="AB525" s="2"/>
      <c r="AC525" s="2"/>
      <c r="AD525" s="3"/>
    </row>
    <row r="526" spans="25:30" x14ac:dyDescent="0.3">
      <c r="Y526" s="1"/>
      <c r="Z526" s="1"/>
      <c r="AB526" s="2"/>
      <c r="AC526" s="2"/>
      <c r="AD526" s="3"/>
    </row>
    <row r="527" spans="25:30" x14ac:dyDescent="0.3">
      <c r="Y527" s="1"/>
      <c r="Z527" s="1"/>
      <c r="AB527" s="2"/>
      <c r="AC527" s="2"/>
      <c r="AD527" s="3"/>
    </row>
    <row r="528" spans="25:30" x14ac:dyDescent="0.3">
      <c r="Y528" s="1"/>
      <c r="Z528" s="1"/>
      <c r="AB528" s="2"/>
      <c r="AC528" s="2"/>
      <c r="AD528" s="3"/>
    </row>
    <row r="529" spans="25:30" x14ac:dyDescent="0.3">
      <c r="Y529" s="1"/>
      <c r="Z529" s="1"/>
      <c r="AB529" s="2"/>
      <c r="AC529" s="2"/>
      <c r="AD529" s="3"/>
    </row>
    <row r="530" spans="25:30" x14ac:dyDescent="0.3">
      <c r="Y530" s="1"/>
      <c r="Z530" s="1"/>
      <c r="AB530" s="2"/>
      <c r="AC530" s="2"/>
      <c r="AD530" s="3"/>
    </row>
    <row r="531" spans="25:30" x14ac:dyDescent="0.3">
      <c r="Y531" s="1"/>
      <c r="Z531" s="1"/>
      <c r="AB531" s="2"/>
      <c r="AC531" s="2"/>
      <c r="AD531" s="3"/>
    </row>
    <row r="532" spans="25:30" x14ac:dyDescent="0.3">
      <c r="Y532" s="1"/>
      <c r="Z532" s="1"/>
      <c r="AB532" s="2"/>
      <c r="AC532" s="2"/>
      <c r="AD532" s="3"/>
    </row>
    <row r="533" spans="25:30" x14ac:dyDescent="0.3">
      <c r="Y533" s="1"/>
      <c r="Z533" s="1"/>
      <c r="AB533" s="2"/>
      <c r="AC533" s="2"/>
      <c r="AD533" s="3"/>
    </row>
    <row r="534" spans="25:30" x14ac:dyDescent="0.3">
      <c r="Y534" s="1"/>
      <c r="Z534" s="1"/>
      <c r="AB534" s="2"/>
      <c r="AC534" s="2"/>
      <c r="AD534" s="3"/>
    </row>
    <row r="535" spans="25:30" x14ac:dyDescent="0.3">
      <c r="Y535" s="1"/>
      <c r="Z535" s="1"/>
      <c r="AB535" s="2"/>
      <c r="AC535" s="2"/>
      <c r="AD535" s="3"/>
    </row>
    <row r="536" spans="25:30" x14ac:dyDescent="0.3">
      <c r="Y536" s="1"/>
      <c r="Z536" s="1"/>
      <c r="AB536" s="2"/>
      <c r="AC536" s="2"/>
      <c r="AD536" s="3"/>
    </row>
    <row r="537" spans="25:30" x14ac:dyDescent="0.3">
      <c r="Y537" s="1"/>
      <c r="Z537" s="1"/>
      <c r="AB537" s="2"/>
      <c r="AC537" s="2"/>
      <c r="AD537" s="3"/>
    </row>
    <row r="538" spans="25:30" x14ac:dyDescent="0.3">
      <c r="Y538" s="1"/>
      <c r="Z538" s="1"/>
      <c r="AB538" s="2"/>
      <c r="AC538" s="2"/>
      <c r="AD538" s="3"/>
    </row>
    <row r="539" spans="25:30" x14ac:dyDescent="0.3">
      <c r="Y539" s="1"/>
      <c r="Z539" s="1"/>
      <c r="AB539" s="2"/>
      <c r="AC539" s="2"/>
      <c r="AD539" s="3"/>
    </row>
    <row r="540" spans="25:30" x14ac:dyDescent="0.3">
      <c r="Y540" s="1"/>
      <c r="Z540" s="1"/>
      <c r="AB540" s="2"/>
      <c r="AC540" s="2"/>
      <c r="AD540" s="3"/>
    </row>
    <row r="541" spans="25:30" x14ac:dyDescent="0.3">
      <c r="Y541" s="1"/>
      <c r="Z541" s="1"/>
      <c r="AB541" s="2"/>
      <c r="AC541" s="2"/>
      <c r="AD541" s="3"/>
    </row>
    <row r="542" spans="25:30" x14ac:dyDescent="0.3">
      <c r="Y542" s="1"/>
      <c r="Z542" s="1"/>
      <c r="AB542" s="2"/>
      <c r="AC542" s="2"/>
      <c r="AD542" s="3"/>
    </row>
    <row r="543" spans="25:30" x14ac:dyDescent="0.3">
      <c r="Y543" s="1"/>
      <c r="Z543" s="1"/>
      <c r="AB543" s="2"/>
      <c r="AC543" s="2"/>
      <c r="AD543" s="3"/>
    </row>
    <row r="544" spans="25:30" x14ac:dyDescent="0.3">
      <c r="Y544" s="1"/>
      <c r="Z544" s="1"/>
      <c r="AB544" s="2"/>
      <c r="AC544" s="2"/>
      <c r="AD544" s="3"/>
    </row>
    <row r="545" spans="25:30" x14ac:dyDescent="0.3">
      <c r="Y545" s="1"/>
      <c r="Z545" s="1"/>
      <c r="AB545" s="2"/>
      <c r="AC545" s="2"/>
      <c r="AD545" s="3"/>
    </row>
    <row r="546" spans="25:30" x14ac:dyDescent="0.3">
      <c r="Y546" s="1"/>
      <c r="Z546" s="1"/>
      <c r="AB546" s="2"/>
      <c r="AC546" s="2"/>
      <c r="AD546" s="3"/>
    </row>
    <row r="547" spans="25:30" x14ac:dyDescent="0.3">
      <c r="Y547" s="1"/>
      <c r="Z547" s="1"/>
      <c r="AB547" s="2"/>
      <c r="AC547" s="2"/>
      <c r="AD547" s="3"/>
    </row>
    <row r="548" spans="25:30" x14ac:dyDescent="0.3">
      <c r="Y548" s="1"/>
      <c r="Z548" s="1"/>
      <c r="AB548" s="2"/>
      <c r="AC548" s="2"/>
      <c r="AD548" s="3"/>
    </row>
    <row r="549" spans="25:30" x14ac:dyDescent="0.3">
      <c r="Y549" s="1"/>
      <c r="Z549" s="1"/>
      <c r="AB549" s="2"/>
      <c r="AC549" s="2"/>
      <c r="AD549" s="3"/>
    </row>
    <row r="550" spans="25:30" x14ac:dyDescent="0.3">
      <c r="Y550" s="1"/>
      <c r="Z550" s="1"/>
      <c r="AB550" s="2"/>
      <c r="AC550" s="2"/>
      <c r="AD550" s="3"/>
    </row>
    <row r="551" spans="25:30" x14ac:dyDescent="0.3">
      <c r="Y551" s="1"/>
      <c r="Z551" s="1"/>
      <c r="AB551" s="2"/>
      <c r="AC551" s="2"/>
      <c r="AD551" s="3"/>
    </row>
    <row r="552" spans="25:30" x14ac:dyDescent="0.3">
      <c r="Y552" s="1"/>
      <c r="Z552" s="1"/>
      <c r="AB552" s="2"/>
      <c r="AC552" s="2"/>
      <c r="AD552" s="3"/>
    </row>
    <row r="553" spans="25:30" x14ac:dyDescent="0.3">
      <c r="Y553" s="1"/>
      <c r="Z553" s="1"/>
      <c r="AB553" s="2"/>
      <c r="AC553" s="2"/>
      <c r="AD553" s="3"/>
    </row>
    <row r="554" spans="25:30" x14ac:dyDescent="0.3">
      <c r="Y554" s="1"/>
      <c r="Z554" s="1"/>
      <c r="AB554" s="2"/>
      <c r="AC554" s="2"/>
      <c r="AD554" s="3"/>
    </row>
    <row r="555" spans="25:30" x14ac:dyDescent="0.3">
      <c r="Y555" s="1"/>
      <c r="Z555" s="1"/>
      <c r="AB555" s="2"/>
      <c r="AC555" s="2"/>
      <c r="AD555" s="3"/>
    </row>
    <row r="556" spans="25:30" x14ac:dyDescent="0.3">
      <c r="Y556" s="1"/>
      <c r="Z556" s="1"/>
      <c r="AB556" s="2"/>
      <c r="AC556" s="2"/>
      <c r="AD556" s="3"/>
    </row>
    <row r="557" spans="25:30" x14ac:dyDescent="0.3">
      <c r="Y557" s="1"/>
      <c r="Z557" s="1"/>
      <c r="AB557" s="2"/>
      <c r="AC557" s="2"/>
      <c r="AD557" s="3"/>
    </row>
    <row r="558" spans="25:30" x14ac:dyDescent="0.3">
      <c r="Y558" s="1"/>
      <c r="Z558" s="1"/>
      <c r="AB558" s="2"/>
      <c r="AC558" s="2"/>
      <c r="AD558" s="3"/>
    </row>
    <row r="559" spans="25:30" x14ac:dyDescent="0.3">
      <c r="Y559" s="1"/>
      <c r="Z559" s="1"/>
      <c r="AB559" s="2"/>
      <c r="AC559" s="2"/>
      <c r="AD559" s="3"/>
    </row>
    <row r="560" spans="25:30" x14ac:dyDescent="0.3">
      <c r="Y560" s="1"/>
      <c r="Z560" s="1"/>
      <c r="AB560" s="2"/>
      <c r="AC560" s="2"/>
      <c r="AD560" s="3"/>
    </row>
    <row r="561" spans="25:30" x14ac:dyDescent="0.3">
      <c r="Y561" s="1"/>
      <c r="Z561" s="1"/>
      <c r="AB561" s="2"/>
      <c r="AC561" s="2"/>
      <c r="AD561" s="3"/>
    </row>
    <row r="562" spans="25:30" x14ac:dyDescent="0.3">
      <c r="Y562" s="1"/>
      <c r="Z562" s="1"/>
      <c r="AB562" s="2"/>
      <c r="AC562" s="2"/>
      <c r="AD562" s="3"/>
    </row>
    <row r="563" spans="25:30" x14ac:dyDescent="0.3">
      <c r="Y563" s="1"/>
      <c r="Z563" s="1"/>
      <c r="AB563" s="2"/>
      <c r="AC563" s="2"/>
      <c r="AD563" s="3"/>
    </row>
    <row r="564" spans="25:30" x14ac:dyDescent="0.3">
      <c r="Y564" s="1"/>
      <c r="Z564" s="1"/>
      <c r="AB564" s="2"/>
      <c r="AC564" s="2"/>
      <c r="AD564" s="3"/>
    </row>
    <row r="565" spans="25:30" x14ac:dyDescent="0.3">
      <c r="Y565" s="1"/>
      <c r="Z565" s="1"/>
      <c r="AB565" s="2"/>
      <c r="AC565" s="2"/>
      <c r="AD565" s="3"/>
    </row>
    <row r="566" spans="25:30" x14ac:dyDescent="0.3">
      <c r="Y566" s="1"/>
      <c r="Z566" s="1"/>
      <c r="AB566" s="2"/>
      <c r="AC566" s="2"/>
      <c r="AD566" s="3"/>
    </row>
    <row r="567" spans="25:30" x14ac:dyDescent="0.3">
      <c r="Y567" s="1"/>
      <c r="Z567" s="1"/>
      <c r="AB567" s="2"/>
      <c r="AC567" s="2"/>
      <c r="AD567" s="3"/>
    </row>
    <row r="568" spans="25:30" x14ac:dyDescent="0.3">
      <c r="Y568" s="1"/>
      <c r="Z568" s="1"/>
      <c r="AB568" s="2"/>
      <c r="AC568" s="2"/>
      <c r="AD568" s="3"/>
    </row>
    <row r="569" spans="25:30" x14ac:dyDescent="0.3">
      <c r="Y569" s="1"/>
      <c r="Z569" s="1"/>
      <c r="AB569" s="2"/>
      <c r="AC569" s="2"/>
      <c r="AD569" s="3"/>
    </row>
    <row r="570" spans="25:30" x14ac:dyDescent="0.3">
      <c r="Y570" s="1"/>
      <c r="Z570" s="1"/>
      <c r="AB570" s="2"/>
      <c r="AC570" s="2"/>
      <c r="AD570" s="3"/>
    </row>
    <row r="571" spans="25:30" x14ac:dyDescent="0.3">
      <c r="Y571" s="1"/>
      <c r="Z571" s="1"/>
      <c r="AB571" s="2"/>
      <c r="AC571" s="2"/>
      <c r="AD571" s="3"/>
    </row>
    <row r="572" spans="25:30" x14ac:dyDescent="0.3">
      <c r="Y572" s="1"/>
      <c r="Z572" s="1"/>
      <c r="AB572" s="2"/>
      <c r="AC572" s="2"/>
      <c r="AD572" s="3"/>
    </row>
    <row r="573" spans="25:30" x14ac:dyDescent="0.3">
      <c r="Y573" s="1"/>
      <c r="Z573" s="1"/>
      <c r="AB573" s="2"/>
      <c r="AC573" s="2"/>
      <c r="AD573" s="3"/>
    </row>
    <row r="574" spans="25:30" x14ac:dyDescent="0.3">
      <c r="Y574" s="1"/>
      <c r="Z574" s="1"/>
      <c r="AB574" s="2"/>
      <c r="AC574" s="2"/>
      <c r="AD574" s="3"/>
    </row>
    <row r="575" spans="25:30" x14ac:dyDescent="0.3">
      <c r="Y575" s="1"/>
      <c r="Z575" s="1"/>
      <c r="AB575" s="2"/>
      <c r="AC575" s="2"/>
      <c r="AD575" s="3"/>
    </row>
    <row r="576" spans="25:30" x14ac:dyDescent="0.3">
      <c r="Y576" s="1"/>
      <c r="Z576" s="1"/>
      <c r="AB576" s="2"/>
      <c r="AC576" s="2"/>
      <c r="AD576" s="3"/>
    </row>
    <row r="577" spans="25:30" x14ac:dyDescent="0.3">
      <c r="Y577" s="1"/>
      <c r="Z577" s="1"/>
      <c r="AB577" s="2"/>
      <c r="AC577" s="2"/>
      <c r="AD577" s="3"/>
    </row>
    <row r="578" spans="25:30" x14ac:dyDescent="0.3">
      <c r="Y578" s="1"/>
      <c r="Z578" s="1"/>
      <c r="AB578" s="2"/>
      <c r="AC578" s="2"/>
      <c r="AD578" s="3"/>
    </row>
    <row r="579" spans="25:30" x14ac:dyDescent="0.3">
      <c r="Y579" s="1"/>
      <c r="Z579" s="1"/>
      <c r="AB579" s="2"/>
      <c r="AC579" s="2"/>
      <c r="AD579" s="3"/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임윤준</dc:creator>
  <cp:lastModifiedBy>임윤준</cp:lastModifiedBy>
  <dcterms:created xsi:type="dcterms:W3CDTF">2026-04-23T09:16:25Z</dcterms:created>
  <dcterms:modified xsi:type="dcterms:W3CDTF">2026-04-23T11:13:22Z</dcterms:modified>
</cp:coreProperties>
</file>